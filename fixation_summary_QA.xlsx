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memoria\"/>
    </mc:Choice>
  </mc:AlternateContent>
  <xr:revisionPtr revIDLastSave="0" documentId="13_ncr:1_{6575F85A-AAC4-4121-A1A9-63B396C3E5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rticipants" sheetId="1" r:id="rId1"/>
    <sheet name="Summary" sheetId="2" r:id="rId2"/>
    <sheet name="Usable" sheetId="4" r:id="rId3"/>
    <sheet name="Q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7" i="4" l="1"/>
  <c r="AQ66" i="4"/>
  <c r="AQ65" i="4"/>
  <c r="AQ64" i="4"/>
  <c r="E44" i="3"/>
  <c r="E43" i="3"/>
  <c r="E42" i="3"/>
  <c r="C43" i="1"/>
  <c r="B4" i="2"/>
  <c r="E41" i="3"/>
  <c r="G17" i="3"/>
  <c r="G29" i="3"/>
  <c r="G12" i="3"/>
  <c r="G5" i="3"/>
  <c r="G38" i="3"/>
  <c r="G6" i="3"/>
  <c r="G37" i="3"/>
  <c r="G16" i="3"/>
  <c r="G28" i="3"/>
  <c r="G25" i="3"/>
  <c r="G27" i="3"/>
  <c r="G10" i="3"/>
  <c r="G19" i="3"/>
  <c r="G14" i="3"/>
  <c r="G21" i="3"/>
  <c r="G4" i="3"/>
  <c r="G23" i="3"/>
  <c r="G13" i="3"/>
  <c r="G15" i="3"/>
  <c r="G22" i="3"/>
  <c r="G36" i="3"/>
  <c r="G9" i="3"/>
  <c r="G18" i="3"/>
  <c r="G11" i="3"/>
  <c r="G32" i="3"/>
  <c r="G24" i="3"/>
  <c r="G20" i="3"/>
  <c r="G3" i="3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3" i="2"/>
  <c r="B2" i="4"/>
  <c r="AS2" i="4" s="1"/>
  <c r="B42" i="1"/>
  <c r="B41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E45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E44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E43" i="1"/>
  <c r="BL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E42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F41" i="1"/>
  <c r="E41" i="1"/>
  <c r="AU15" i="4"/>
  <c r="AU20" i="4"/>
  <c r="AU21" i="4"/>
  <c r="AU34" i="4"/>
  <c r="G39" i="3"/>
  <c r="C3" i="4"/>
  <c r="AT3" i="4" s="1"/>
  <c r="D3" i="4"/>
  <c r="AU3" i="4" s="1"/>
  <c r="E3" i="4"/>
  <c r="AV3" i="4" s="1"/>
  <c r="F3" i="4"/>
  <c r="AW3" i="4" s="1"/>
  <c r="G3" i="4"/>
  <c r="AX3" i="4" s="1"/>
  <c r="H3" i="4"/>
  <c r="AY3" i="4" s="1"/>
  <c r="I3" i="4"/>
  <c r="AZ3" i="4" s="1"/>
  <c r="J3" i="4"/>
  <c r="BA3" i="4" s="1"/>
  <c r="K3" i="4"/>
  <c r="BB3" i="4" s="1"/>
  <c r="L3" i="4"/>
  <c r="BC3" i="4" s="1"/>
  <c r="M3" i="4"/>
  <c r="BD3" i="4" s="1"/>
  <c r="N3" i="4"/>
  <c r="BE3" i="4" s="1"/>
  <c r="O3" i="4"/>
  <c r="BF3" i="4" s="1"/>
  <c r="P3" i="4"/>
  <c r="BG3" i="4" s="1"/>
  <c r="Q3" i="4"/>
  <c r="BH3" i="4" s="1"/>
  <c r="R3" i="4"/>
  <c r="BI3" i="4" s="1"/>
  <c r="S3" i="4"/>
  <c r="BJ3" i="4" s="1"/>
  <c r="T3" i="4"/>
  <c r="BK3" i="4" s="1"/>
  <c r="U3" i="4"/>
  <c r="BL3" i="4" s="1"/>
  <c r="V3" i="4"/>
  <c r="BM3" i="4" s="1"/>
  <c r="W3" i="4"/>
  <c r="BN3" i="4" s="1"/>
  <c r="X3" i="4"/>
  <c r="BO3" i="4" s="1"/>
  <c r="Y3" i="4"/>
  <c r="BP3" i="4" s="1"/>
  <c r="Z3" i="4"/>
  <c r="BQ3" i="4" s="1"/>
  <c r="AA3" i="4"/>
  <c r="BR3" i="4" s="1"/>
  <c r="AB3" i="4"/>
  <c r="BS3" i="4" s="1"/>
  <c r="AC3" i="4"/>
  <c r="BT3" i="4" s="1"/>
  <c r="AD3" i="4"/>
  <c r="BU3" i="4" s="1"/>
  <c r="AE3" i="4"/>
  <c r="BV3" i="4" s="1"/>
  <c r="AF3" i="4"/>
  <c r="BW3" i="4" s="1"/>
  <c r="AG3" i="4"/>
  <c r="BX3" i="4" s="1"/>
  <c r="AH3" i="4"/>
  <c r="BY3" i="4" s="1"/>
  <c r="AI3" i="4"/>
  <c r="BZ3" i="4" s="1"/>
  <c r="AJ3" i="4"/>
  <c r="CA3" i="4" s="1"/>
  <c r="AK3" i="4"/>
  <c r="CB3" i="4" s="1"/>
  <c r="AL3" i="4"/>
  <c r="CC3" i="4" s="1"/>
  <c r="AM3" i="4"/>
  <c r="CD3" i="4" s="1"/>
  <c r="C4" i="4"/>
  <c r="AT4" i="4" s="1"/>
  <c r="D4" i="4"/>
  <c r="AU4" i="4" s="1"/>
  <c r="E4" i="4"/>
  <c r="AV4" i="4" s="1"/>
  <c r="F4" i="4"/>
  <c r="AW4" i="4" s="1"/>
  <c r="G4" i="4"/>
  <c r="AX4" i="4" s="1"/>
  <c r="H4" i="4"/>
  <c r="AY4" i="4" s="1"/>
  <c r="I4" i="4"/>
  <c r="AZ4" i="4" s="1"/>
  <c r="J4" i="4"/>
  <c r="BA4" i="4" s="1"/>
  <c r="K4" i="4"/>
  <c r="BB4" i="4" s="1"/>
  <c r="L4" i="4"/>
  <c r="BC4" i="4" s="1"/>
  <c r="M4" i="4"/>
  <c r="BD4" i="4" s="1"/>
  <c r="N4" i="4"/>
  <c r="BE4" i="4" s="1"/>
  <c r="O4" i="4"/>
  <c r="BF4" i="4" s="1"/>
  <c r="P4" i="4"/>
  <c r="BG4" i="4" s="1"/>
  <c r="Q4" i="4"/>
  <c r="BH4" i="4" s="1"/>
  <c r="R4" i="4"/>
  <c r="BI4" i="4" s="1"/>
  <c r="S4" i="4"/>
  <c r="BJ4" i="4" s="1"/>
  <c r="T4" i="4"/>
  <c r="BK4" i="4" s="1"/>
  <c r="U4" i="4"/>
  <c r="BL4" i="4" s="1"/>
  <c r="V4" i="4"/>
  <c r="BM4" i="4" s="1"/>
  <c r="W4" i="4"/>
  <c r="BN4" i="4" s="1"/>
  <c r="X4" i="4"/>
  <c r="BO4" i="4" s="1"/>
  <c r="Y4" i="4"/>
  <c r="BP4" i="4" s="1"/>
  <c r="Z4" i="4"/>
  <c r="BQ4" i="4" s="1"/>
  <c r="AA4" i="4"/>
  <c r="BR4" i="4" s="1"/>
  <c r="AB4" i="4"/>
  <c r="BS4" i="4" s="1"/>
  <c r="AC4" i="4"/>
  <c r="BT4" i="4" s="1"/>
  <c r="AD4" i="4"/>
  <c r="BU4" i="4" s="1"/>
  <c r="AE4" i="4"/>
  <c r="BV4" i="4" s="1"/>
  <c r="AF4" i="4"/>
  <c r="BW4" i="4" s="1"/>
  <c r="AG4" i="4"/>
  <c r="BX4" i="4" s="1"/>
  <c r="AH4" i="4"/>
  <c r="BY4" i="4" s="1"/>
  <c r="AI4" i="4"/>
  <c r="BZ4" i="4" s="1"/>
  <c r="AJ4" i="4"/>
  <c r="CA4" i="4" s="1"/>
  <c r="AK4" i="4"/>
  <c r="CB4" i="4" s="1"/>
  <c r="AL4" i="4"/>
  <c r="CC4" i="4" s="1"/>
  <c r="AM4" i="4"/>
  <c r="CD4" i="4" s="1"/>
  <c r="C5" i="4"/>
  <c r="AT5" i="4" s="1"/>
  <c r="D5" i="4"/>
  <c r="AU5" i="4" s="1"/>
  <c r="E5" i="4"/>
  <c r="AV5" i="4" s="1"/>
  <c r="F5" i="4"/>
  <c r="AW5" i="4" s="1"/>
  <c r="G5" i="4"/>
  <c r="AX5" i="4" s="1"/>
  <c r="H5" i="4"/>
  <c r="AY5" i="4" s="1"/>
  <c r="I5" i="4"/>
  <c r="AZ5" i="4" s="1"/>
  <c r="J5" i="4"/>
  <c r="BA5" i="4" s="1"/>
  <c r="K5" i="4"/>
  <c r="BB5" i="4" s="1"/>
  <c r="L5" i="4"/>
  <c r="BC5" i="4" s="1"/>
  <c r="M5" i="4"/>
  <c r="BD5" i="4" s="1"/>
  <c r="N5" i="4"/>
  <c r="BE5" i="4" s="1"/>
  <c r="O5" i="4"/>
  <c r="BF5" i="4" s="1"/>
  <c r="P5" i="4"/>
  <c r="BG5" i="4" s="1"/>
  <c r="Q5" i="4"/>
  <c r="BH5" i="4" s="1"/>
  <c r="R5" i="4"/>
  <c r="BI5" i="4" s="1"/>
  <c r="S5" i="4"/>
  <c r="BJ5" i="4" s="1"/>
  <c r="T5" i="4"/>
  <c r="BK5" i="4" s="1"/>
  <c r="U5" i="4"/>
  <c r="BL5" i="4" s="1"/>
  <c r="V5" i="4"/>
  <c r="BM5" i="4" s="1"/>
  <c r="W5" i="4"/>
  <c r="BN5" i="4" s="1"/>
  <c r="X5" i="4"/>
  <c r="BO5" i="4" s="1"/>
  <c r="Y5" i="4"/>
  <c r="BP5" i="4" s="1"/>
  <c r="Z5" i="4"/>
  <c r="BQ5" i="4" s="1"/>
  <c r="AA5" i="4"/>
  <c r="BR5" i="4" s="1"/>
  <c r="AB5" i="4"/>
  <c r="BS5" i="4" s="1"/>
  <c r="AC5" i="4"/>
  <c r="BT5" i="4" s="1"/>
  <c r="AD5" i="4"/>
  <c r="BU5" i="4" s="1"/>
  <c r="AE5" i="4"/>
  <c r="BV5" i="4" s="1"/>
  <c r="AF5" i="4"/>
  <c r="BW5" i="4" s="1"/>
  <c r="AG5" i="4"/>
  <c r="BX5" i="4" s="1"/>
  <c r="AH5" i="4"/>
  <c r="BY5" i="4" s="1"/>
  <c r="AI5" i="4"/>
  <c r="BZ5" i="4" s="1"/>
  <c r="AJ5" i="4"/>
  <c r="CA5" i="4" s="1"/>
  <c r="AK5" i="4"/>
  <c r="CB5" i="4" s="1"/>
  <c r="AL5" i="4"/>
  <c r="CC5" i="4" s="1"/>
  <c r="AM5" i="4"/>
  <c r="CD5" i="4" s="1"/>
  <c r="C6" i="4"/>
  <c r="AT6" i="4" s="1"/>
  <c r="D6" i="4"/>
  <c r="AU6" i="4" s="1"/>
  <c r="E6" i="4"/>
  <c r="AV6" i="4" s="1"/>
  <c r="F6" i="4"/>
  <c r="AW6" i="4" s="1"/>
  <c r="G6" i="4"/>
  <c r="AX6" i="4" s="1"/>
  <c r="H6" i="4"/>
  <c r="AY6" i="4" s="1"/>
  <c r="I6" i="4"/>
  <c r="AZ6" i="4" s="1"/>
  <c r="J6" i="4"/>
  <c r="BA6" i="4" s="1"/>
  <c r="K6" i="4"/>
  <c r="BB6" i="4" s="1"/>
  <c r="L6" i="4"/>
  <c r="BC6" i="4" s="1"/>
  <c r="M6" i="4"/>
  <c r="BD6" i="4" s="1"/>
  <c r="N6" i="4"/>
  <c r="BE6" i="4" s="1"/>
  <c r="O6" i="4"/>
  <c r="BF6" i="4" s="1"/>
  <c r="P6" i="4"/>
  <c r="BG6" i="4" s="1"/>
  <c r="Q6" i="4"/>
  <c r="BH6" i="4" s="1"/>
  <c r="R6" i="4"/>
  <c r="BI6" i="4" s="1"/>
  <c r="S6" i="4"/>
  <c r="BJ6" i="4" s="1"/>
  <c r="T6" i="4"/>
  <c r="BK6" i="4" s="1"/>
  <c r="U6" i="4"/>
  <c r="BL6" i="4" s="1"/>
  <c r="V6" i="4"/>
  <c r="BM6" i="4" s="1"/>
  <c r="W6" i="4"/>
  <c r="BN6" i="4" s="1"/>
  <c r="X6" i="4"/>
  <c r="BO6" i="4" s="1"/>
  <c r="Y6" i="4"/>
  <c r="BP6" i="4" s="1"/>
  <c r="Z6" i="4"/>
  <c r="BQ6" i="4" s="1"/>
  <c r="AA6" i="4"/>
  <c r="BR6" i="4" s="1"/>
  <c r="AB6" i="4"/>
  <c r="BS6" i="4" s="1"/>
  <c r="AC6" i="4"/>
  <c r="BT6" i="4" s="1"/>
  <c r="AD6" i="4"/>
  <c r="BU6" i="4" s="1"/>
  <c r="AE6" i="4"/>
  <c r="BV6" i="4" s="1"/>
  <c r="AF6" i="4"/>
  <c r="BW6" i="4" s="1"/>
  <c r="AG6" i="4"/>
  <c r="BX6" i="4" s="1"/>
  <c r="AH6" i="4"/>
  <c r="BY6" i="4" s="1"/>
  <c r="AI6" i="4"/>
  <c r="BZ6" i="4" s="1"/>
  <c r="AJ6" i="4"/>
  <c r="CA6" i="4" s="1"/>
  <c r="AK6" i="4"/>
  <c r="CB6" i="4" s="1"/>
  <c r="AL6" i="4"/>
  <c r="CC6" i="4" s="1"/>
  <c r="AM6" i="4"/>
  <c r="CD6" i="4" s="1"/>
  <c r="C7" i="4"/>
  <c r="AT7" i="4" s="1"/>
  <c r="D7" i="4"/>
  <c r="AU7" i="4" s="1"/>
  <c r="E7" i="4"/>
  <c r="AV7" i="4" s="1"/>
  <c r="F7" i="4"/>
  <c r="AW7" i="4" s="1"/>
  <c r="G7" i="4"/>
  <c r="AX7" i="4" s="1"/>
  <c r="H7" i="4"/>
  <c r="AY7" i="4" s="1"/>
  <c r="I7" i="4"/>
  <c r="AZ7" i="4" s="1"/>
  <c r="J7" i="4"/>
  <c r="BA7" i="4" s="1"/>
  <c r="K7" i="4"/>
  <c r="BB7" i="4" s="1"/>
  <c r="L7" i="4"/>
  <c r="BC7" i="4" s="1"/>
  <c r="M7" i="4"/>
  <c r="BD7" i="4" s="1"/>
  <c r="N7" i="4"/>
  <c r="BE7" i="4" s="1"/>
  <c r="O7" i="4"/>
  <c r="BF7" i="4" s="1"/>
  <c r="P7" i="4"/>
  <c r="BG7" i="4" s="1"/>
  <c r="Q7" i="4"/>
  <c r="BH7" i="4" s="1"/>
  <c r="R7" i="4"/>
  <c r="BI7" i="4" s="1"/>
  <c r="S7" i="4"/>
  <c r="BJ7" i="4" s="1"/>
  <c r="T7" i="4"/>
  <c r="BK7" i="4" s="1"/>
  <c r="U7" i="4"/>
  <c r="BL7" i="4" s="1"/>
  <c r="V7" i="4"/>
  <c r="BM7" i="4" s="1"/>
  <c r="W7" i="4"/>
  <c r="BN7" i="4" s="1"/>
  <c r="X7" i="4"/>
  <c r="BO7" i="4" s="1"/>
  <c r="Y7" i="4"/>
  <c r="BP7" i="4" s="1"/>
  <c r="Z7" i="4"/>
  <c r="BQ7" i="4" s="1"/>
  <c r="AA7" i="4"/>
  <c r="BR7" i="4" s="1"/>
  <c r="AB7" i="4"/>
  <c r="BS7" i="4" s="1"/>
  <c r="AC7" i="4"/>
  <c r="BT7" i="4" s="1"/>
  <c r="AD7" i="4"/>
  <c r="BU7" i="4" s="1"/>
  <c r="AE7" i="4"/>
  <c r="BV7" i="4" s="1"/>
  <c r="AF7" i="4"/>
  <c r="BW7" i="4" s="1"/>
  <c r="AG7" i="4"/>
  <c r="BX7" i="4" s="1"/>
  <c r="AH7" i="4"/>
  <c r="BY7" i="4" s="1"/>
  <c r="AI7" i="4"/>
  <c r="BZ7" i="4" s="1"/>
  <c r="AJ7" i="4"/>
  <c r="CA7" i="4" s="1"/>
  <c r="AK7" i="4"/>
  <c r="CB7" i="4" s="1"/>
  <c r="AL7" i="4"/>
  <c r="CC7" i="4" s="1"/>
  <c r="AM7" i="4"/>
  <c r="CD7" i="4" s="1"/>
  <c r="C8" i="4"/>
  <c r="AT8" i="4" s="1"/>
  <c r="D8" i="4"/>
  <c r="AU8" i="4" s="1"/>
  <c r="E8" i="4"/>
  <c r="AV8" i="4" s="1"/>
  <c r="F8" i="4"/>
  <c r="AW8" i="4" s="1"/>
  <c r="G8" i="4"/>
  <c r="AX8" i="4" s="1"/>
  <c r="H8" i="4"/>
  <c r="AY8" i="4" s="1"/>
  <c r="I8" i="4"/>
  <c r="AZ8" i="4" s="1"/>
  <c r="J8" i="4"/>
  <c r="BA8" i="4" s="1"/>
  <c r="K8" i="4"/>
  <c r="BB8" i="4" s="1"/>
  <c r="L8" i="4"/>
  <c r="BC8" i="4" s="1"/>
  <c r="M8" i="4"/>
  <c r="BD8" i="4" s="1"/>
  <c r="N8" i="4"/>
  <c r="BE8" i="4" s="1"/>
  <c r="O8" i="4"/>
  <c r="BF8" i="4" s="1"/>
  <c r="P8" i="4"/>
  <c r="BG8" i="4" s="1"/>
  <c r="Q8" i="4"/>
  <c r="BH8" i="4" s="1"/>
  <c r="R8" i="4"/>
  <c r="BI8" i="4" s="1"/>
  <c r="S8" i="4"/>
  <c r="BJ8" i="4" s="1"/>
  <c r="T8" i="4"/>
  <c r="BK8" i="4" s="1"/>
  <c r="U8" i="4"/>
  <c r="BL8" i="4" s="1"/>
  <c r="V8" i="4"/>
  <c r="BM8" i="4" s="1"/>
  <c r="W8" i="4"/>
  <c r="BN8" i="4" s="1"/>
  <c r="X8" i="4"/>
  <c r="BO8" i="4" s="1"/>
  <c r="Y8" i="4"/>
  <c r="BP8" i="4" s="1"/>
  <c r="Z8" i="4"/>
  <c r="BQ8" i="4" s="1"/>
  <c r="AA8" i="4"/>
  <c r="BR8" i="4" s="1"/>
  <c r="AB8" i="4"/>
  <c r="BS8" i="4" s="1"/>
  <c r="AC8" i="4"/>
  <c r="BT8" i="4" s="1"/>
  <c r="AD8" i="4"/>
  <c r="BU8" i="4" s="1"/>
  <c r="AE8" i="4"/>
  <c r="BV8" i="4" s="1"/>
  <c r="AF8" i="4"/>
  <c r="BW8" i="4" s="1"/>
  <c r="AG8" i="4"/>
  <c r="BX8" i="4" s="1"/>
  <c r="AH8" i="4"/>
  <c r="BY8" i="4" s="1"/>
  <c r="AI8" i="4"/>
  <c r="BZ8" i="4" s="1"/>
  <c r="AJ8" i="4"/>
  <c r="CA8" i="4" s="1"/>
  <c r="AK8" i="4"/>
  <c r="CB8" i="4" s="1"/>
  <c r="AL8" i="4"/>
  <c r="CC8" i="4" s="1"/>
  <c r="AM8" i="4"/>
  <c r="CD8" i="4" s="1"/>
  <c r="C9" i="4"/>
  <c r="AT9" i="4" s="1"/>
  <c r="D9" i="4"/>
  <c r="AU9" i="4" s="1"/>
  <c r="E9" i="4"/>
  <c r="AV9" i="4" s="1"/>
  <c r="F9" i="4"/>
  <c r="AW9" i="4" s="1"/>
  <c r="G9" i="4"/>
  <c r="AX9" i="4" s="1"/>
  <c r="H9" i="4"/>
  <c r="AY9" i="4" s="1"/>
  <c r="I9" i="4"/>
  <c r="AZ9" i="4" s="1"/>
  <c r="J9" i="4"/>
  <c r="BA9" i="4" s="1"/>
  <c r="K9" i="4"/>
  <c r="BB9" i="4" s="1"/>
  <c r="L9" i="4"/>
  <c r="BC9" i="4" s="1"/>
  <c r="M9" i="4"/>
  <c r="BD9" i="4" s="1"/>
  <c r="N9" i="4"/>
  <c r="BE9" i="4" s="1"/>
  <c r="O9" i="4"/>
  <c r="BF9" i="4" s="1"/>
  <c r="P9" i="4"/>
  <c r="BG9" i="4" s="1"/>
  <c r="Q9" i="4"/>
  <c r="BH9" i="4" s="1"/>
  <c r="R9" i="4"/>
  <c r="BI9" i="4" s="1"/>
  <c r="S9" i="4"/>
  <c r="BJ9" i="4" s="1"/>
  <c r="T9" i="4"/>
  <c r="BK9" i="4" s="1"/>
  <c r="U9" i="4"/>
  <c r="BL9" i="4" s="1"/>
  <c r="V9" i="4"/>
  <c r="BM9" i="4" s="1"/>
  <c r="W9" i="4"/>
  <c r="BN9" i="4" s="1"/>
  <c r="X9" i="4"/>
  <c r="BO9" i="4" s="1"/>
  <c r="Y9" i="4"/>
  <c r="BP9" i="4" s="1"/>
  <c r="Z9" i="4"/>
  <c r="BQ9" i="4" s="1"/>
  <c r="AA9" i="4"/>
  <c r="BR9" i="4" s="1"/>
  <c r="AB9" i="4"/>
  <c r="BS9" i="4" s="1"/>
  <c r="AC9" i="4"/>
  <c r="BT9" i="4" s="1"/>
  <c r="AD9" i="4"/>
  <c r="BU9" i="4" s="1"/>
  <c r="AE9" i="4"/>
  <c r="BV9" i="4" s="1"/>
  <c r="AF9" i="4"/>
  <c r="BW9" i="4" s="1"/>
  <c r="AG9" i="4"/>
  <c r="BX9" i="4" s="1"/>
  <c r="AH9" i="4"/>
  <c r="BY9" i="4" s="1"/>
  <c r="AI9" i="4"/>
  <c r="BZ9" i="4" s="1"/>
  <c r="AJ9" i="4"/>
  <c r="CA9" i="4" s="1"/>
  <c r="AK9" i="4"/>
  <c r="CB9" i="4" s="1"/>
  <c r="AL9" i="4"/>
  <c r="CC9" i="4" s="1"/>
  <c r="AM9" i="4"/>
  <c r="CD9" i="4" s="1"/>
  <c r="C10" i="4"/>
  <c r="AT10" i="4" s="1"/>
  <c r="D10" i="4"/>
  <c r="AU10" i="4" s="1"/>
  <c r="E10" i="4"/>
  <c r="AV10" i="4" s="1"/>
  <c r="F10" i="4"/>
  <c r="AW10" i="4" s="1"/>
  <c r="G10" i="4"/>
  <c r="AX10" i="4" s="1"/>
  <c r="H10" i="4"/>
  <c r="AY10" i="4" s="1"/>
  <c r="I10" i="4"/>
  <c r="AZ10" i="4" s="1"/>
  <c r="J10" i="4"/>
  <c r="BA10" i="4" s="1"/>
  <c r="K10" i="4"/>
  <c r="BB10" i="4" s="1"/>
  <c r="L10" i="4"/>
  <c r="BC10" i="4" s="1"/>
  <c r="M10" i="4"/>
  <c r="BD10" i="4" s="1"/>
  <c r="N10" i="4"/>
  <c r="BE10" i="4" s="1"/>
  <c r="O10" i="4"/>
  <c r="BF10" i="4" s="1"/>
  <c r="P10" i="4"/>
  <c r="BG10" i="4" s="1"/>
  <c r="Q10" i="4"/>
  <c r="BH10" i="4" s="1"/>
  <c r="R10" i="4"/>
  <c r="BI10" i="4" s="1"/>
  <c r="S10" i="4"/>
  <c r="BJ10" i="4" s="1"/>
  <c r="T10" i="4"/>
  <c r="BK10" i="4" s="1"/>
  <c r="U10" i="4"/>
  <c r="BL10" i="4" s="1"/>
  <c r="V10" i="4"/>
  <c r="BM10" i="4" s="1"/>
  <c r="W10" i="4"/>
  <c r="BN10" i="4" s="1"/>
  <c r="X10" i="4"/>
  <c r="BO10" i="4" s="1"/>
  <c r="Y10" i="4"/>
  <c r="BP10" i="4" s="1"/>
  <c r="Z10" i="4"/>
  <c r="BQ10" i="4" s="1"/>
  <c r="AA10" i="4"/>
  <c r="BR10" i="4" s="1"/>
  <c r="AB10" i="4"/>
  <c r="BS10" i="4" s="1"/>
  <c r="AC10" i="4"/>
  <c r="BT10" i="4" s="1"/>
  <c r="AD10" i="4"/>
  <c r="BU10" i="4" s="1"/>
  <c r="AE10" i="4"/>
  <c r="BV10" i="4" s="1"/>
  <c r="AF10" i="4"/>
  <c r="BW10" i="4" s="1"/>
  <c r="AG10" i="4"/>
  <c r="BX10" i="4" s="1"/>
  <c r="AH10" i="4"/>
  <c r="BY10" i="4" s="1"/>
  <c r="AI10" i="4"/>
  <c r="BZ10" i="4" s="1"/>
  <c r="AJ10" i="4"/>
  <c r="CA10" i="4" s="1"/>
  <c r="AK10" i="4"/>
  <c r="CB10" i="4" s="1"/>
  <c r="AL10" i="4"/>
  <c r="CC10" i="4" s="1"/>
  <c r="AM10" i="4"/>
  <c r="CD10" i="4" s="1"/>
  <c r="C11" i="4"/>
  <c r="AT11" i="4" s="1"/>
  <c r="D11" i="4"/>
  <c r="AU11" i="4" s="1"/>
  <c r="E11" i="4"/>
  <c r="AV11" i="4" s="1"/>
  <c r="F11" i="4"/>
  <c r="AW11" i="4" s="1"/>
  <c r="G11" i="4"/>
  <c r="AX11" i="4" s="1"/>
  <c r="H11" i="4"/>
  <c r="AY11" i="4" s="1"/>
  <c r="I11" i="4"/>
  <c r="AZ11" i="4" s="1"/>
  <c r="J11" i="4"/>
  <c r="BA11" i="4" s="1"/>
  <c r="K11" i="4"/>
  <c r="BB11" i="4" s="1"/>
  <c r="L11" i="4"/>
  <c r="BC11" i="4" s="1"/>
  <c r="M11" i="4"/>
  <c r="BD11" i="4" s="1"/>
  <c r="N11" i="4"/>
  <c r="BE11" i="4" s="1"/>
  <c r="O11" i="4"/>
  <c r="BF11" i="4" s="1"/>
  <c r="P11" i="4"/>
  <c r="BG11" i="4" s="1"/>
  <c r="Q11" i="4"/>
  <c r="BH11" i="4" s="1"/>
  <c r="R11" i="4"/>
  <c r="BI11" i="4" s="1"/>
  <c r="S11" i="4"/>
  <c r="BJ11" i="4" s="1"/>
  <c r="T11" i="4"/>
  <c r="BK11" i="4" s="1"/>
  <c r="U11" i="4"/>
  <c r="BL11" i="4" s="1"/>
  <c r="V11" i="4"/>
  <c r="BM11" i="4" s="1"/>
  <c r="W11" i="4"/>
  <c r="BN11" i="4" s="1"/>
  <c r="X11" i="4"/>
  <c r="BO11" i="4" s="1"/>
  <c r="Y11" i="4"/>
  <c r="BP11" i="4" s="1"/>
  <c r="Z11" i="4"/>
  <c r="BQ11" i="4" s="1"/>
  <c r="AA11" i="4"/>
  <c r="BR11" i="4" s="1"/>
  <c r="AB11" i="4"/>
  <c r="BS11" i="4" s="1"/>
  <c r="AC11" i="4"/>
  <c r="BT11" i="4" s="1"/>
  <c r="AD11" i="4"/>
  <c r="BU11" i="4" s="1"/>
  <c r="AE11" i="4"/>
  <c r="BV11" i="4" s="1"/>
  <c r="AF11" i="4"/>
  <c r="BW11" i="4" s="1"/>
  <c r="AG11" i="4"/>
  <c r="BX11" i="4" s="1"/>
  <c r="AH11" i="4"/>
  <c r="BY11" i="4" s="1"/>
  <c r="AI11" i="4"/>
  <c r="BZ11" i="4" s="1"/>
  <c r="AJ11" i="4"/>
  <c r="CA11" i="4" s="1"/>
  <c r="AK11" i="4"/>
  <c r="CB11" i="4" s="1"/>
  <c r="AL11" i="4"/>
  <c r="CC11" i="4" s="1"/>
  <c r="AM11" i="4"/>
  <c r="CD11" i="4" s="1"/>
  <c r="C12" i="4"/>
  <c r="AT12" i="4" s="1"/>
  <c r="D12" i="4"/>
  <c r="AU12" i="4" s="1"/>
  <c r="E12" i="4"/>
  <c r="AV12" i="4" s="1"/>
  <c r="F12" i="4"/>
  <c r="AW12" i="4" s="1"/>
  <c r="G12" i="4"/>
  <c r="AX12" i="4" s="1"/>
  <c r="H12" i="4"/>
  <c r="AY12" i="4" s="1"/>
  <c r="I12" i="4"/>
  <c r="AZ12" i="4" s="1"/>
  <c r="J12" i="4"/>
  <c r="BA12" i="4" s="1"/>
  <c r="K12" i="4"/>
  <c r="BB12" i="4" s="1"/>
  <c r="L12" i="4"/>
  <c r="BC12" i="4" s="1"/>
  <c r="M12" i="4"/>
  <c r="BD12" i="4" s="1"/>
  <c r="N12" i="4"/>
  <c r="BE12" i="4" s="1"/>
  <c r="O12" i="4"/>
  <c r="BF12" i="4" s="1"/>
  <c r="P12" i="4"/>
  <c r="BG12" i="4" s="1"/>
  <c r="Q12" i="4"/>
  <c r="BH12" i="4" s="1"/>
  <c r="R12" i="4"/>
  <c r="BI12" i="4" s="1"/>
  <c r="S12" i="4"/>
  <c r="BJ12" i="4" s="1"/>
  <c r="T12" i="4"/>
  <c r="BK12" i="4" s="1"/>
  <c r="U12" i="4"/>
  <c r="BL12" i="4" s="1"/>
  <c r="V12" i="4"/>
  <c r="BM12" i="4" s="1"/>
  <c r="W12" i="4"/>
  <c r="BN12" i="4" s="1"/>
  <c r="X12" i="4"/>
  <c r="BO12" i="4" s="1"/>
  <c r="Y12" i="4"/>
  <c r="BP12" i="4" s="1"/>
  <c r="Z12" i="4"/>
  <c r="BQ12" i="4" s="1"/>
  <c r="AA12" i="4"/>
  <c r="BR12" i="4" s="1"/>
  <c r="AB12" i="4"/>
  <c r="BS12" i="4" s="1"/>
  <c r="AC12" i="4"/>
  <c r="BT12" i="4" s="1"/>
  <c r="AD12" i="4"/>
  <c r="BU12" i="4" s="1"/>
  <c r="AE12" i="4"/>
  <c r="BV12" i="4" s="1"/>
  <c r="AF12" i="4"/>
  <c r="BW12" i="4" s="1"/>
  <c r="AG12" i="4"/>
  <c r="BX12" i="4" s="1"/>
  <c r="AH12" i="4"/>
  <c r="BY12" i="4" s="1"/>
  <c r="AI12" i="4"/>
  <c r="BZ12" i="4" s="1"/>
  <c r="AJ12" i="4"/>
  <c r="CA12" i="4" s="1"/>
  <c r="AK12" i="4"/>
  <c r="CB12" i="4" s="1"/>
  <c r="AL12" i="4"/>
  <c r="CC12" i="4" s="1"/>
  <c r="AM12" i="4"/>
  <c r="CD12" i="4" s="1"/>
  <c r="C13" i="4"/>
  <c r="AT13" i="4" s="1"/>
  <c r="D13" i="4"/>
  <c r="AU13" i="4" s="1"/>
  <c r="E13" i="4"/>
  <c r="AV13" i="4" s="1"/>
  <c r="F13" i="4"/>
  <c r="AW13" i="4" s="1"/>
  <c r="G13" i="4"/>
  <c r="AX13" i="4" s="1"/>
  <c r="H13" i="4"/>
  <c r="AY13" i="4" s="1"/>
  <c r="I13" i="4"/>
  <c r="AZ13" i="4" s="1"/>
  <c r="J13" i="4"/>
  <c r="BA13" i="4" s="1"/>
  <c r="K13" i="4"/>
  <c r="BB13" i="4" s="1"/>
  <c r="L13" i="4"/>
  <c r="BC13" i="4" s="1"/>
  <c r="M13" i="4"/>
  <c r="BD13" i="4" s="1"/>
  <c r="N13" i="4"/>
  <c r="BE13" i="4" s="1"/>
  <c r="O13" i="4"/>
  <c r="BF13" i="4" s="1"/>
  <c r="P13" i="4"/>
  <c r="BG13" i="4" s="1"/>
  <c r="Q13" i="4"/>
  <c r="BH13" i="4" s="1"/>
  <c r="R13" i="4"/>
  <c r="BI13" i="4" s="1"/>
  <c r="S13" i="4"/>
  <c r="BJ13" i="4" s="1"/>
  <c r="T13" i="4"/>
  <c r="BK13" i="4" s="1"/>
  <c r="U13" i="4"/>
  <c r="BL13" i="4" s="1"/>
  <c r="V13" i="4"/>
  <c r="BM13" i="4" s="1"/>
  <c r="W13" i="4"/>
  <c r="BN13" i="4" s="1"/>
  <c r="X13" i="4"/>
  <c r="BO13" i="4" s="1"/>
  <c r="Y13" i="4"/>
  <c r="BP13" i="4" s="1"/>
  <c r="Z13" i="4"/>
  <c r="BQ13" i="4" s="1"/>
  <c r="AA13" i="4"/>
  <c r="BR13" i="4" s="1"/>
  <c r="AB13" i="4"/>
  <c r="BS13" i="4" s="1"/>
  <c r="AC13" i="4"/>
  <c r="BT13" i="4" s="1"/>
  <c r="AD13" i="4"/>
  <c r="BU13" i="4" s="1"/>
  <c r="AE13" i="4"/>
  <c r="BV13" i="4" s="1"/>
  <c r="AF13" i="4"/>
  <c r="BW13" i="4" s="1"/>
  <c r="AG13" i="4"/>
  <c r="BX13" i="4" s="1"/>
  <c r="AH13" i="4"/>
  <c r="BY13" i="4" s="1"/>
  <c r="AI13" i="4"/>
  <c r="BZ13" i="4" s="1"/>
  <c r="AJ13" i="4"/>
  <c r="CA13" i="4" s="1"/>
  <c r="AK13" i="4"/>
  <c r="CB13" i="4" s="1"/>
  <c r="AL13" i="4"/>
  <c r="CC13" i="4" s="1"/>
  <c r="AM13" i="4"/>
  <c r="CD13" i="4" s="1"/>
  <c r="C14" i="4"/>
  <c r="AT14" i="4" s="1"/>
  <c r="D14" i="4"/>
  <c r="AU14" i="4" s="1"/>
  <c r="E14" i="4"/>
  <c r="AV14" i="4" s="1"/>
  <c r="F14" i="4"/>
  <c r="AW14" i="4" s="1"/>
  <c r="G14" i="4"/>
  <c r="AX14" i="4" s="1"/>
  <c r="H14" i="4"/>
  <c r="AY14" i="4" s="1"/>
  <c r="I14" i="4"/>
  <c r="AZ14" i="4" s="1"/>
  <c r="J14" i="4"/>
  <c r="BA14" i="4" s="1"/>
  <c r="K14" i="4"/>
  <c r="BB14" i="4" s="1"/>
  <c r="L14" i="4"/>
  <c r="BC14" i="4" s="1"/>
  <c r="M14" i="4"/>
  <c r="BD14" i="4" s="1"/>
  <c r="N14" i="4"/>
  <c r="BE14" i="4" s="1"/>
  <c r="O14" i="4"/>
  <c r="BF14" i="4" s="1"/>
  <c r="P14" i="4"/>
  <c r="BG14" i="4" s="1"/>
  <c r="Q14" i="4"/>
  <c r="BH14" i="4" s="1"/>
  <c r="R14" i="4"/>
  <c r="BI14" i="4" s="1"/>
  <c r="S14" i="4"/>
  <c r="BJ14" i="4" s="1"/>
  <c r="T14" i="4"/>
  <c r="BK14" i="4" s="1"/>
  <c r="U14" i="4"/>
  <c r="BL14" i="4" s="1"/>
  <c r="V14" i="4"/>
  <c r="BM14" i="4" s="1"/>
  <c r="W14" i="4"/>
  <c r="BN14" i="4" s="1"/>
  <c r="X14" i="4"/>
  <c r="BO14" i="4" s="1"/>
  <c r="Y14" i="4"/>
  <c r="BP14" i="4" s="1"/>
  <c r="Z14" i="4"/>
  <c r="BQ14" i="4" s="1"/>
  <c r="AA14" i="4"/>
  <c r="BR14" i="4" s="1"/>
  <c r="AB14" i="4"/>
  <c r="BS14" i="4" s="1"/>
  <c r="AC14" i="4"/>
  <c r="BT14" i="4" s="1"/>
  <c r="AD14" i="4"/>
  <c r="BU14" i="4" s="1"/>
  <c r="AE14" i="4"/>
  <c r="BV14" i="4" s="1"/>
  <c r="AF14" i="4"/>
  <c r="BW14" i="4" s="1"/>
  <c r="AG14" i="4"/>
  <c r="BX14" i="4" s="1"/>
  <c r="AH14" i="4"/>
  <c r="BY14" i="4" s="1"/>
  <c r="AI14" i="4"/>
  <c r="BZ14" i="4" s="1"/>
  <c r="AJ14" i="4"/>
  <c r="CA14" i="4" s="1"/>
  <c r="AK14" i="4"/>
  <c r="CB14" i="4" s="1"/>
  <c r="AL14" i="4"/>
  <c r="CC14" i="4" s="1"/>
  <c r="AM14" i="4"/>
  <c r="CD14" i="4" s="1"/>
  <c r="C15" i="4"/>
  <c r="AT15" i="4" s="1"/>
  <c r="E15" i="4"/>
  <c r="AV15" i="4" s="1"/>
  <c r="F15" i="4"/>
  <c r="AW15" i="4" s="1"/>
  <c r="G15" i="4"/>
  <c r="AX15" i="4" s="1"/>
  <c r="H15" i="4"/>
  <c r="AY15" i="4" s="1"/>
  <c r="I15" i="4"/>
  <c r="AZ15" i="4" s="1"/>
  <c r="J15" i="4"/>
  <c r="BA15" i="4" s="1"/>
  <c r="K15" i="4"/>
  <c r="BB15" i="4" s="1"/>
  <c r="L15" i="4"/>
  <c r="BC15" i="4" s="1"/>
  <c r="M15" i="4"/>
  <c r="BD15" i="4" s="1"/>
  <c r="N15" i="4"/>
  <c r="BE15" i="4" s="1"/>
  <c r="O15" i="4"/>
  <c r="BF15" i="4" s="1"/>
  <c r="P15" i="4"/>
  <c r="BG15" i="4" s="1"/>
  <c r="Q15" i="4"/>
  <c r="BH15" i="4" s="1"/>
  <c r="R15" i="4"/>
  <c r="BI15" i="4" s="1"/>
  <c r="S15" i="4"/>
  <c r="BJ15" i="4" s="1"/>
  <c r="T15" i="4"/>
  <c r="BK15" i="4" s="1"/>
  <c r="U15" i="4"/>
  <c r="BL15" i="4" s="1"/>
  <c r="V15" i="4"/>
  <c r="BM15" i="4" s="1"/>
  <c r="W15" i="4"/>
  <c r="BN15" i="4" s="1"/>
  <c r="X15" i="4"/>
  <c r="BO15" i="4" s="1"/>
  <c r="Y15" i="4"/>
  <c r="BP15" i="4" s="1"/>
  <c r="Z15" i="4"/>
  <c r="BQ15" i="4" s="1"/>
  <c r="AA15" i="4"/>
  <c r="BR15" i="4" s="1"/>
  <c r="AB15" i="4"/>
  <c r="BS15" i="4" s="1"/>
  <c r="AC15" i="4"/>
  <c r="BT15" i="4" s="1"/>
  <c r="AD15" i="4"/>
  <c r="BU15" i="4" s="1"/>
  <c r="AE15" i="4"/>
  <c r="BV15" i="4" s="1"/>
  <c r="AF15" i="4"/>
  <c r="BW15" i="4" s="1"/>
  <c r="AG15" i="4"/>
  <c r="BX15" i="4" s="1"/>
  <c r="AH15" i="4"/>
  <c r="BY15" i="4" s="1"/>
  <c r="AI15" i="4"/>
  <c r="BZ15" i="4" s="1"/>
  <c r="AJ15" i="4"/>
  <c r="CA15" i="4" s="1"/>
  <c r="AK15" i="4"/>
  <c r="CB15" i="4" s="1"/>
  <c r="AL15" i="4"/>
  <c r="CC15" i="4" s="1"/>
  <c r="AM15" i="4"/>
  <c r="CD15" i="4" s="1"/>
  <c r="C16" i="4"/>
  <c r="AT16" i="4" s="1"/>
  <c r="D16" i="4"/>
  <c r="AU16" i="4" s="1"/>
  <c r="E16" i="4"/>
  <c r="AV16" i="4" s="1"/>
  <c r="F16" i="4"/>
  <c r="AW16" i="4" s="1"/>
  <c r="G16" i="4"/>
  <c r="AX16" i="4" s="1"/>
  <c r="H16" i="4"/>
  <c r="AY16" i="4" s="1"/>
  <c r="I16" i="4"/>
  <c r="AZ16" i="4" s="1"/>
  <c r="J16" i="4"/>
  <c r="BA16" i="4" s="1"/>
  <c r="K16" i="4"/>
  <c r="BB16" i="4" s="1"/>
  <c r="L16" i="4"/>
  <c r="BC16" i="4" s="1"/>
  <c r="M16" i="4"/>
  <c r="BD16" i="4" s="1"/>
  <c r="N16" i="4"/>
  <c r="BE16" i="4" s="1"/>
  <c r="O16" i="4"/>
  <c r="BF16" i="4" s="1"/>
  <c r="P16" i="4"/>
  <c r="BG16" i="4" s="1"/>
  <c r="Q16" i="4"/>
  <c r="BH16" i="4" s="1"/>
  <c r="R16" i="4"/>
  <c r="BI16" i="4" s="1"/>
  <c r="S16" i="4"/>
  <c r="BJ16" i="4" s="1"/>
  <c r="T16" i="4"/>
  <c r="BK16" i="4" s="1"/>
  <c r="U16" i="4"/>
  <c r="BL16" i="4" s="1"/>
  <c r="V16" i="4"/>
  <c r="BM16" i="4" s="1"/>
  <c r="W16" i="4"/>
  <c r="BN16" i="4" s="1"/>
  <c r="X16" i="4"/>
  <c r="BO16" i="4" s="1"/>
  <c r="Y16" i="4"/>
  <c r="BP16" i="4" s="1"/>
  <c r="Z16" i="4"/>
  <c r="BQ16" i="4" s="1"/>
  <c r="AA16" i="4"/>
  <c r="BR16" i="4" s="1"/>
  <c r="AB16" i="4"/>
  <c r="BS16" i="4" s="1"/>
  <c r="AC16" i="4"/>
  <c r="BT16" i="4" s="1"/>
  <c r="AD16" i="4"/>
  <c r="BU16" i="4" s="1"/>
  <c r="AE16" i="4"/>
  <c r="BV16" i="4" s="1"/>
  <c r="AF16" i="4"/>
  <c r="BW16" i="4" s="1"/>
  <c r="AG16" i="4"/>
  <c r="BX16" i="4" s="1"/>
  <c r="AH16" i="4"/>
  <c r="BY16" i="4" s="1"/>
  <c r="AI16" i="4"/>
  <c r="BZ16" i="4" s="1"/>
  <c r="AJ16" i="4"/>
  <c r="CA16" i="4" s="1"/>
  <c r="AK16" i="4"/>
  <c r="CB16" i="4" s="1"/>
  <c r="AL16" i="4"/>
  <c r="CC16" i="4" s="1"/>
  <c r="AM16" i="4"/>
  <c r="CD16" i="4" s="1"/>
  <c r="C17" i="4"/>
  <c r="AT17" i="4" s="1"/>
  <c r="D17" i="4"/>
  <c r="AU17" i="4" s="1"/>
  <c r="E17" i="4"/>
  <c r="AV17" i="4" s="1"/>
  <c r="F17" i="4"/>
  <c r="AW17" i="4" s="1"/>
  <c r="G17" i="4"/>
  <c r="AX17" i="4" s="1"/>
  <c r="H17" i="4"/>
  <c r="AY17" i="4" s="1"/>
  <c r="I17" i="4"/>
  <c r="AZ17" i="4" s="1"/>
  <c r="J17" i="4"/>
  <c r="BA17" i="4" s="1"/>
  <c r="K17" i="4"/>
  <c r="BB17" i="4" s="1"/>
  <c r="L17" i="4"/>
  <c r="BC17" i="4" s="1"/>
  <c r="M17" i="4"/>
  <c r="BD17" i="4" s="1"/>
  <c r="N17" i="4"/>
  <c r="BE17" i="4" s="1"/>
  <c r="O17" i="4"/>
  <c r="BF17" i="4" s="1"/>
  <c r="P17" i="4"/>
  <c r="BG17" i="4" s="1"/>
  <c r="Q17" i="4"/>
  <c r="BH17" i="4" s="1"/>
  <c r="R17" i="4"/>
  <c r="BI17" i="4" s="1"/>
  <c r="S17" i="4"/>
  <c r="BJ17" i="4" s="1"/>
  <c r="T17" i="4"/>
  <c r="BK17" i="4" s="1"/>
  <c r="U17" i="4"/>
  <c r="BL17" i="4" s="1"/>
  <c r="V17" i="4"/>
  <c r="BM17" i="4" s="1"/>
  <c r="W17" i="4"/>
  <c r="BN17" i="4" s="1"/>
  <c r="X17" i="4"/>
  <c r="BO17" i="4" s="1"/>
  <c r="Y17" i="4"/>
  <c r="BP17" i="4" s="1"/>
  <c r="Z17" i="4"/>
  <c r="BQ17" i="4" s="1"/>
  <c r="AA17" i="4"/>
  <c r="BR17" i="4" s="1"/>
  <c r="AB17" i="4"/>
  <c r="BS17" i="4" s="1"/>
  <c r="AC17" i="4"/>
  <c r="BT17" i="4" s="1"/>
  <c r="AD17" i="4"/>
  <c r="BU17" i="4" s="1"/>
  <c r="AE17" i="4"/>
  <c r="BV17" i="4" s="1"/>
  <c r="AF17" i="4"/>
  <c r="BW17" i="4" s="1"/>
  <c r="AG17" i="4"/>
  <c r="BX17" i="4" s="1"/>
  <c r="AH17" i="4"/>
  <c r="BY17" i="4" s="1"/>
  <c r="AI17" i="4"/>
  <c r="BZ17" i="4" s="1"/>
  <c r="AJ17" i="4"/>
  <c r="CA17" i="4" s="1"/>
  <c r="AK17" i="4"/>
  <c r="CB17" i="4" s="1"/>
  <c r="AL17" i="4"/>
  <c r="CC17" i="4" s="1"/>
  <c r="AM17" i="4"/>
  <c r="CD17" i="4" s="1"/>
  <c r="C18" i="4"/>
  <c r="AT18" i="4" s="1"/>
  <c r="D18" i="4"/>
  <c r="AU18" i="4" s="1"/>
  <c r="E18" i="4"/>
  <c r="AV18" i="4" s="1"/>
  <c r="F18" i="4"/>
  <c r="AW18" i="4" s="1"/>
  <c r="G18" i="4"/>
  <c r="AX18" i="4" s="1"/>
  <c r="H18" i="4"/>
  <c r="AY18" i="4" s="1"/>
  <c r="I18" i="4"/>
  <c r="AZ18" i="4" s="1"/>
  <c r="J18" i="4"/>
  <c r="BA18" i="4" s="1"/>
  <c r="K18" i="4"/>
  <c r="BB18" i="4" s="1"/>
  <c r="L18" i="4"/>
  <c r="BC18" i="4" s="1"/>
  <c r="M18" i="4"/>
  <c r="BD18" i="4" s="1"/>
  <c r="N18" i="4"/>
  <c r="BE18" i="4" s="1"/>
  <c r="O18" i="4"/>
  <c r="BF18" i="4" s="1"/>
  <c r="P18" i="4"/>
  <c r="BG18" i="4" s="1"/>
  <c r="Q18" i="4"/>
  <c r="BH18" i="4" s="1"/>
  <c r="R18" i="4"/>
  <c r="BI18" i="4" s="1"/>
  <c r="S18" i="4"/>
  <c r="BJ18" i="4" s="1"/>
  <c r="T18" i="4"/>
  <c r="BK18" i="4" s="1"/>
  <c r="U18" i="4"/>
  <c r="BL18" i="4" s="1"/>
  <c r="V18" i="4"/>
  <c r="BM18" i="4" s="1"/>
  <c r="W18" i="4"/>
  <c r="BN18" i="4" s="1"/>
  <c r="X18" i="4"/>
  <c r="BO18" i="4" s="1"/>
  <c r="Y18" i="4"/>
  <c r="BP18" i="4" s="1"/>
  <c r="Z18" i="4"/>
  <c r="BQ18" i="4" s="1"/>
  <c r="AA18" i="4"/>
  <c r="BR18" i="4" s="1"/>
  <c r="AB18" i="4"/>
  <c r="BS18" i="4" s="1"/>
  <c r="AC18" i="4"/>
  <c r="BT18" i="4" s="1"/>
  <c r="AD18" i="4"/>
  <c r="BU18" i="4" s="1"/>
  <c r="AE18" i="4"/>
  <c r="BV18" i="4" s="1"/>
  <c r="AF18" i="4"/>
  <c r="BW18" i="4" s="1"/>
  <c r="AG18" i="4"/>
  <c r="BX18" i="4" s="1"/>
  <c r="AH18" i="4"/>
  <c r="BY18" i="4" s="1"/>
  <c r="AI18" i="4"/>
  <c r="BZ18" i="4" s="1"/>
  <c r="AJ18" i="4"/>
  <c r="CA18" i="4" s="1"/>
  <c r="AK18" i="4"/>
  <c r="CB18" i="4" s="1"/>
  <c r="AL18" i="4"/>
  <c r="CC18" i="4" s="1"/>
  <c r="AM18" i="4"/>
  <c r="CD18" i="4" s="1"/>
  <c r="C19" i="4"/>
  <c r="AT19" i="4" s="1"/>
  <c r="D19" i="4"/>
  <c r="AU19" i="4" s="1"/>
  <c r="E19" i="4"/>
  <c r="AV19" i="4" s="1"/>
  <c r="F19" i="4"/>
  <c r="AW19" i="4" s="1"/>
  <c r="G19" i="4"/>
  <c r="AX19" i="4" s="1"/>
  <c r="H19" i="4"/>
  <c r="AY19" i="4" s="1"/>
  <c r="I19" i="4"/>
  <c r="AZ19" i="4" s="1"/>
  <c r="J19" i="4"/>
  <c r="BA19" i="4" s="1"/>
  <c r="K19" i="4"/>
  <c r="BB19" i="4" s="1"/>
  <c r="L19" i="4"/>
  <c r="BC19" i="4" s="1"/>
  <c r="M19" i="4"/>
  <c r="BD19" i="4" s="1"/>
  <c r="N19" i="4"/>
  <c r="BE19" i="4" s="1"/>
  <c r="O19" i="4"/>
  <c r="BF19" i="4" s="1"/>
  <c r="P19" i="4"/>
  <c r="BG19" i="4" s="1"/>
  <c r="Q19" i="4"/>
  <c r="BH19" i="4" s="1"/>
  <c r="R19" i="4"/>
  <c r="BI19" i="4" s="1"/>
  <c r="S19" i="4"/>
  <c r="BJ19" i="4" s="1"/>
  <c r="T19" i="4"/>
  <c r="BK19" i="4" s="1"/>
  <c r="U19" i="4"/>
  <c r="BL19" i="4" s="1"/>
  <c r="V19" i="4"/>
  <c r="BM19" i="4" s="1"/>
  <c r="W19" i="4"/>
  <c r="BN19" i="4" s="1"/>
  <c r="X19" i="4"/>
  <c r="BO19" i="4" s="1"/>
  <c r="Y19" i="4"/>
  <c r="BP19" i="4" s="1"/>
  <c r="Z19" i="4"/>
  <c r="BQ19" i="4" s="1"/>
  <c r="AA19" i="4"/>
  <c r="BR19" i="4" s="1"/>
  <c r="AB19" i="4"/>
  <c r="BS19" i="4" s="1"/>
  <c r="AC19" i="4"/>
  <c r="BT19" i="4" s="1"/>
  <c r="AD19" i="4"/>
  <c r="BU19" i="4" s="1"/>
  <c r="AE19" i="4"/>
  <c r="BV19" i="4" s="1"/>
  <c r="AF19" i="4"/>
  <c r="BW19" i="4" s="1"/>
  <c r="AG19" i="4"/>
  <c r="BX19" i="4" s="1"/>
  <c r="AH19" i="4"/>
  <c r="BY19" i="4" s="1"/>
  <c r="AI19" i="4"/>
  <c r="BZ19" i="4" s="1"/>
  <c r="AJ19" i="4"/>
  <c r="CA19" i="4" s="1"/>
  <c r="AK19" i="4"/>
  <c r="CB19" i="4" s="1"/>
  <c r="AL19" i="4"/>
  <c r="CC19" i="4" s="1"/>
  <c r="AM19" i="4"/>
  <c r="CD19" i="4" s="1"/>
  <c r="C20" i="4"/>
  <c r="AT20" i="4" s="1"/>
  <c r="E20" i="4"/>
  <c r="AV20" i="4" s="1"/>
  <c r="F20" i="4"/>
  <c r="AW20" i="4" s="1"/>
  <c r="G20" i="4"/>
  <c r="AX20" i="4" s="1"/>
  <c r="H20" i="4"/>
  <c r="AY20" i="4" s="1"/>
  <c r="I20" i="4"/>
  <c r="AZ20" i="4" s="1"/>
  <c r="J20" i="4"/>
  <c r="BA20" i="4" s="1"/>
  <c r="K20" i="4"/>
  <c r="BB20" i="4" s="1"/>
  <c r="L20" i="4"/>
  <c r="BC20" i="4" s="1"/>
  <c r="M20" i="4"/>
  <c r="BD20" i="4" s="1"/>
  <c r="N20" i="4"/>
  <c r="BE20" i="4" s="1"/>
  <c r="O20" i="4"/>
  <c r="BF20" i="4" s="1"/>
  <c r="P20" i="4"/>
  <c r="BG20" i="4" s="1"/>
  <c r="Q20" i="4"/>
  <c r="BH20" i="4" s="1"/>
  <c r="R20" i="4"/>
  <c r="BI20" i="4" s="1"/>
  <c r="S20" i="4"/>
  <c r="BJ20" i="4" s="1"/>
  <c r="T20" i="4"/>
  <c r="BK20" i="4" s="1"/>
  <c r="U20" i="4"/>
  <c r="BL20" i="4" s="1"/>
  <c r="V20" i="4"/>
  <c r="BM20" i="4" s="1"/>
  <c r="W20" i="4"/>
  <c r="BN20" i="4" s="1"/>
  <c r="X20" i="4"/>
  <c r="BO20" i="4" s="1"/>
  <c r="Y20" i="4"/>
  <c r="BP20" i="4" s="1"/>
  <c r="Z20" i="4"/>
  <c r="BQ20" i="4" s="1"/>
  <c r="AA20" i="4"/>
  <c r="BR20" i="4" s="1"/>
  <c r="AB20" i="4"/>
  <c r="BS20" i="4" s="1"/>
  <c r="AC20" i="4"/>
  <c r="BT20" i="4" s="1"/>
  <c r="AD20" i="4"/>
  <c r="BU20" i="4" s="1"/>
  <c r="AE20" i="4"/>
  <c r="BV20" i="4" s="1"/>
  <c r="AF20" i="4"/>
  <c r="BW20" i="4" s="1"/>
  <c r="AG20" i="4"/>
  <c r="BX20" i="4" s="1"/>
  <c r="AH20" i="4"/>
  <c r="BY20" i="4" s="1"/>
  <c r="AI20" i="4"/>
  <c r="BZ20" i="4" s="1"/>
  <c r="AJ20" i="4"/>
  <c r="CA20" i="4" s="1"/>
  <c r="AK20" i="4"/>
  <c r="CB20" i="4" s="1"/>
  <c r="AL20" i="4"/>
  <c r="CC20" i="4" s="1"/>
  <c r="AM20" i="4"/>
  <c r="CD20" i="4" s="1"/>
  <c r="C21" i="4"/>
  <c r="AT21" i="4" s="1"/>
  <c r="E21" i="4"/>
  <c r="AV21" i="4" s="1"/>
  <c r="F21" i="4"/>
  <c r="AW21" i="4" s="1"/>
  <c r="G21" i="4"/>
  <c r="AX21" i="4" s="1"/>
  <c r="H21" i="4"/>
  <c r="AY21" i="4" s="1"/>
  <c r="I21" i="4"/>
  <c r="AZ21" i="4" s="1"/>
  <c r="J21" i="4"/>
  <c r="BA21" i="4" s="1"/>
  <c r="K21" i="4"/>
  <c r="BB21" i="4" s="1"/>
  <c r="L21" i="4"/>
  <c r="BC21" i="4" s="1"/>
  <c r="M21" i="4"/>
  <c r="BD21" i="4" s="1"/>
  <c r="N21" i="4"/>
  <c r="BE21" i="4" s="1"/>
  <c r="O21" i="4"/>
  <c r="BF21" i="4" s="1"/>
  <c r="P21" i="4"/>
  <c r="BG21" i="4" s="1"/>
  <c r="Q21" i="4"/>
  <c r="BH21" i="4" s="1"/>
  <c r="R21" i="4"/>
  <c r="BI21" i="4" s="1"/>
  <c r="S21" i="4"/>
  <c r="BJ21" i="4" s="1"/>
  <c r="T21" i="4"/>
  <c r="BK21" i="4" s="1"/>
  <c r="U21" i="4"/>
  <c r="BL21" i="4" s="1"/>
  <c r="V21" i="4"/>
  <c r="BM21" i="4" s="1"/>
  <c r="W21" i="4"/>
  <c r="BN21" i="4" s="1"/>
  <c r="X21" i="4"/>
  <c r="BO21" i="4" s="1"/>
  <c r="Y21" i="4"/>
  <c r="BP21" i="4" s="1"/>
  <c r="Z21" i="4"/>
  <c r="BQ21" i="4" s="1"/>
  <c r="AA21" i="4"/>
  <c r="BR21" i="4" s="1"/>
  <c r="AB21" i="4"/>
  <c r="BS21" i="4" s="1"/>
  <c r="AC21" i="4"/>
  <c r="BT21" i="4" s="1"/>
  <c r="AD21" i="4"/>
  <c r="BU21" i="4" s="1"/>
  <c r="AE21" i="4"/>
  <c r="BV21" i="4" s="1"/>
  <c r="AF21" i="4"/>
  <c r="BW21" i="4" s="1"/>
  <c r="AG21" i="4"/>
  <c r="BX21" i="4" s="1"/>
  <c r="AH21" i="4"/>
  <c r="BY21" i="4" s="1"/>
  <c r="AI21" i="4"/>
  <c r="BZ21" i="4" s="1"/>
  <c r="AJ21" i="4"/>
  <c r="CA21" i="4" s="1"/>
  <c r="AK21" i="4"/>
  <c r="CB21" i="4" s="1"/>
  <c r="AL21" i="4"/>
  <c r="CC21" i="4" s="1"/>
  <c r="AM21" i="4"/>
  <c r="CD21" i="4" s="1"/>
  <c r="C22" i="4"/>
  <c r="AT22" i="4" s="1"/>
  <c r="D22" i="4"/>
  <c r="AU22" i="4" s="1"/>
  <c r="E22" i="4"/>
  <c r="AV22" i="4" s="1"/>
  <c r="F22" i="4"/>
  <c r="AW22" i="4" s="1"/>
  <c r="G22" i="4"/>
  <c r="AX22" i="4" s="1"/>
  <c r="H22" i="4"/>
  <c r="AY22" i="4" s="1"/>
  <c r="I22" i="4"/>
  <c r="AZ22" i="4" s="1"/>
  <c r="J22" i="4"/>
  <c r="BA22" i="4" s="1"/>
  <c r="K22" i="4"/>
  <c r="BB22" i="4" s="1"/>
  <c r="L22" i="4"/>
  <c r="BC22" i="4" s="1"/>
  <c r="M22" i="4"/>
  <c r="BD22" i="4" s="1"/>
  <c r="N22" i="4"/>
  <c r="BE22" i="4" s="1"/>
  <c r="O22" i="4"/>
  <c r="BF22" i="4" s="1"/>
  <c r="P22" i="4"/>
  <c r="BG22" i="4" s="1"/>
  <c r="Q22" i="4"/>
  <c r="BH22" i="4" s="1"/>
  <c r="R22" i="4"/>
  <c r="BI22" i="4" s="1"/>
  <c r="S22" i="4"/>
  <c r="BJ22" i="4" s="1"/>
  <c r="T22" i="4"/>
  <c r="BK22" i="4" s="1"/>
  <c r="U22" i="4"/>
  <c r="BL22" i="4" s="1"/>
  <c r="V22" i="4"/>
  <c r="BM22" i="4" s="1"/>
  <c r="W22" i="4"/>
  <c r="BN22" i="4" s="1"/>
  <c r="X22" i="4"/>
  <c r="BO22" i="4" s="1"/>
  <c r="Y22" i="4"/>
  <c r="BP22" i="4" s="1"/>
  <c r="Z22" i="4"/>
  <c r="BQ22" i="4" s="1"/>
  <c r="AA22" i="4"/>
  <c r="BR22" i="4" s="1"/>
  <c r="AB22" i="4"/>
  <c r="BS22" i="4" s="1"/>
  <c r="AC22" i="4"/>
  <c r="BT22" i="4" s="1"/>
  <c r="AD22" i="4"/>
  <c r="BU22" i="4" s="1"/>
  <c r="AE22" i="4"/>
  <c r="BV22" i="4" s="1"/>
  <c r="AF22" i="4"/>
  <c r="BW22" i="4" s="1"/>
  <c r="AG22" i="4"/>
  <c r="BX22" i="4" s="1"/>
  <c r="AH22" i="4"/>
  <c r="BY22" i="4" s="1"/>
  <c r="AI22" i="4"/>
  <c r="BZ22" i="4" s="1"/>
  <c r="AJ22" i="4"/>
  <c r="CA22" i="4" s="1"/>
  <c r="AK22" i="4"/>
  <c r="CB22" i="4" s="1"/>
  <c r="AL22" i="4"/>
  <c r="CC22" i="4" s="1"/>
  <c r="AM22" i="4"/>
  <c r="CD22" i="4" s="1"/>
  <c r="C23" i="4"/>
  <c r="AT23" i="4" s="1"/>
  <c r="D23" i="4"/>
  <c r="AU23" i="4" s="1"/>
  <c r="E23" i="4"/>
  <c r="AV23" i="4" s="1"/>
  <c r="F23" i="4"/>
  <c r="AW23" i="4" s="1"/>
  <c r="G23" i="4"/>
  <c r="AX23" i="4" s="1"/>
  <c r="H23" i="4"/>
  <c r="AY23" i="4" s="1"/>
  <c r="I23" i="4"/>
  <c r="AZ23" i="4" s="1"/>
  <c r="J23" i="4"/>
  <c r="BA23" i="4" s="1"/>
  <c r="K23" i="4"/>
  <c r="BB23" i="4" s="1"/>
  <c r="L23" i="4"/>
  <c r="BC23" i="4" s="1"/>
  <c r="M23" i="4"/>
  <c r="BD23" i="4" s="1"/>
  <c r="N23" i="4"/>
  <c r="BE23" i="4" s="1"/>
  <c r="O23" i="4"/>
  <c r="BF23" i="4" s="1"/>
  <c r="P23" i="4"/>
  <c r="BG23" i="4" s="1"/>
  <c r="Q23" i="4"/>
  <c r="BH23" i="4" s="1"/>
  <c r="R23" i="4"/>
  <c r="BI23" i="4" s="1"/>
  <c r="S23" i="4"/>
  <c r="BJ23" i="4" s="1"/>
  <c r="T23" i="4"/>
  <c r="BK23" i="4" s="1"/>
  <c r="U23" i="4"/>
  <c r="BL23" i="4" s="1"/>
  <c r="V23" i="4"/>
  <c r="BM23" i="4" s="1"/>
  <c r="W23" i="4"/>
  <c r="BN23" i="4" s="1"/>
  <c r="X23" i="4"/>
  <c r="BO23" i="4" s="1"/>
  <c r="Y23" i="4"/>
  <c r="BP23" i="4" s="1"/>
  <c r="Z23" i="4"/>
  <c r="BQ23" i="4" s="1"/>
  <c r="AA23" i="4"/>
  <c r="BR23" i="4" s="1"/>
  <c r="AB23" i="4"/>
  <c r="BS23" i="4" s="1"/>
  <c r="AC23" i="4"/>
  <c r="BT23" i="4" s="1"/>
  <c r="AD23" i="4"/>
  <c r="BU23" i="4" s="1"/>
  <c r="AE23" i="4"/>
  <c r="BV23" i="4" s="1"/>
  <c r="AF23" i="4"/>
  <c r="BW23" i="4" s="1"/>
  <c r="AG23" i="4"/>
  <c r="BX23" i="4" s="1"/>
  <c r="AH23" i="4"/>
  <c r="BY23" i="4" s="1"/>
  <c r="AI23" i="4"/>
  <c r="BZ23" i="4" s="1"/>
  <c r="AJ23" i="4"/>
  <c r="CA23" i="4" s="1"/>
  <c r="AK23" i="4"/>
  <c r="CB23" i="4" s="1"/>
  <c r="AL23" i="4"/>
  <c r="CC23" i="4" s="1"/>
  <c r="AM23" i="4"/>
  <c r="CD23" i="4" s="1"/>
  <c r="C24" i="4"/>
  <c r="AT24" i="4" s="1"/>
  <c r="D24" i="4"/>
  <c r="AU24" i="4" s="1"/>
  <c r="E24" i="4"/>
  <c r="AV24" i="4" s="1"/>
  <c r="F24" i="4"/>
  <c r="AW24" i="4" s="1"/>
  <c r="G24" i="4"/>
  <c r="AX24" i="4" s="1"/>
  <c r="H24" i="4"/>
  <c r="AY24" i="4" s="1"/>
  <c r="I24" i="4"/>
  <c r="AZ24" i="4" s="1"/>
  <c r="J24" i="4"/>
  <c r="BA24" i="4" s="1"/>
  <c r="K24" i="4"/>
  <c r="BB24" i="4" s="1"/>
  <c r="L24" i="4"/>
  <c r="BC24" i="4" s="1"/>
  <c r="M24" i="4"/>
  <c r="BD24" i="4" s="1"/>
  <c r="N24" i="4"/>
  <c r="BE24" i="4" s="1"/>
  <c r="O24" i="4"/>
  <c r="BF24" i="4" s="1"/>
  <c r="P24" i="4"/>
  <c r="BG24" i="4" s="1"/>
  <c r="Q24" i="4"/>
  <c r="BH24" i="4" s="1"/>
  <c r="R24" i="4"/>
  <c r="BI24" i="4" s="1"/>
  <c r="S24" i="4"/>
  <c r="BJ24" i="4" s="1"/>
  <c r="T24" i="4"/>
  <c r="BK24" i="4" s="1"/>
  <c r="U24" i="4"/>
  <c r="BL24" i="4" s="1"/>
  <c r="V24" i="4"/>
  <c r="BM24" i="4" s="1"/>
  <c r="W24" i="4"/>
  <c r="BN24" i="4" s="1"/>
  <c r="X24" i="4"/>
  <c r="BO24" i="4" s="1"/>
  <c r="Y24" i="4"/>
  <c r="BP24" i="4" s="1"/>
  <c r="Z24" i="4"/>
  <c r="BQ24" i="4" s="1"/>
  <c r="AA24" i="4"/>
  <c r="BR24" i="4" s="1"/>
  <c r="AB24" i="4"/>
  <c r="BS24" i="4" s="1"/>
  <c r="AC24" i="4"/>
  <c r="BT24" i="4" s="1"/>
  <c r="AD24" i="4"/>
  <c r="BU24" i="4" s="1"/>
  <c r="AE24" i="4"/>
  <c r="BV24" i="4" s="1"/>
  <c r="AF24" i="4"/>
  <c r="BW24" i="4" s="1"/>
  <c r="AG24" i="4"/>
  <c r="BX24" i="4" s="1"/>
  <c r="AH24" i="4"/>
  <c r="BY24" i="4" s="1"/>
  <c r="AI24" i="4"/>
  <c r="BZ24" i="4" s="1"/>
  <c r="AJ24" i="4"/>
  <c r="CA24" i="4" s="1"/>
  <c r="AK24" i="4"/>
  <c r="CB24" i="4" s="1"/>
  <c r="AL24" i="4"/>
  <c r="CC24" i="4" s="1"/>
  <c r="AM24" i="4"/>
  <c r="CD24" i="4" s="1"/>
  <c r="C25" i="4"/>
  <c r="AT25" i="4" s="1"/>
  <c r="D25" i="4"/>
  <c r="AU25" i="4" s="1"/>
  <c r="E25" i="4"/>
  <c r="AV25" i="4" s="1"/>
  <c r="F25" i="4"/>
  <c r="AW25" i="4" s="1"/>
  <c r="G25" i="4"/>
  <c r="AX25" i="4" s="1"/>
  <c r="H25" i="4"/>
  <c r="AY25" i="4" s="1"/>
  <c r="I25" i="4"/>
  <c r="AZ25" i="4" s="1"/>
  <c r="J25" i="4"/>
  <c r="BA25" i="4" s="1"/>
  <c r="K25" i="4"/>
  <c r="BB25" i="4" s="1"/>
  <c r="L25" i="4"/>
  <c r="BC25" i="4" s="1"/>
  <c r="M25" i="4"/>
  <c r="BD25" i="4" s="1"/>
  <c r="N25" i="4"/>
  <c r="BE25" i="4" s="1"/>
  <c r="O25" i="4"/>
  <c r="BF25" i="4" s="1"/>
  <c r="P25" i="4"/>
  <c r="BG25" i="4" s="1"/>
  <c r="Q25" i="4"/>
  <c r="BH25" i="4" s="1"/>
  <c r="R25" i="4"/>
  <c r="BI25" i="4" s="1"/>
  <c r="S25" i="4"/>
  <c r="BJ25" i="4" s="1"/>
  <c r="T25" i="4"/>
  <c r="BK25" i="4" s="1"/>
  <c r="U25" i="4"/>
  <c r="BL25" i="4" s="1"/>
  <c r="V25" i="4"/>
  <c r="BM25" i="4" s="1"/>
  <c r="W25" i="4"/>
  <c r="BN25" i="4" s="1"/>
  <c r="X25" i="4"/>
  <c r="BO25" i="4" s="1"/>
  <c r="Y25" i="4"/>
  <c r="BP25" i="4" s="1"/>
  <c r="Z25" i="4"/>
  <c r="BQ25" i="4" s="1"/>
  <c r="AA25" i="4"/>
  <c r="BR25" i="4" s="1"/>
  <c r="AB25" i="4"/>
  <c r="BS25" i="4" s="1"/>
  <c r="AC25" i="4"/>
  <c r="BT25" i="4" s="1"/>
  <c r="AD25" i="4"/>
  <c r="BU25" i="4" s="1"/>
  <c r="AE25" i="4"/>
  <c r="BV25" i="4" s="1"/>
  <c r="AF25" i="4"/>
  <c r="BW25" i="4" s="1"/>
  <c r="AG25" i="4"/>
  <c r="BX25" i="4" s="1"/>
  <c r="AH25" i="4"/>
  <c r="BY25" i="4" s="1"/>
  <c r="AI25" i="4"/>
  <c r="BZ25" i="4" s="1"/>
  <c r="AJ25" i="4"/>
  <c r="CA25" i="4" s="1"/>
  <c r="AK25" i="4"/>
  <c r="CB25" i="4" s="1"/>
  <c r="AL25" i="4"/>
  <c r="CC25" i="4" s="1"/>
  <c r="AM25" i="4"/>
  <c r="CD25" i="4" s="1"/>
  <c r="C26" i="4"/>
  <c r="AT26" i="4" s="1"/>
  <c r="D26" i="4"/>
  <c r="AU26" i="4" s="1"/>
  <c r="E26" i="4"/>
  <c r="AV26" i="4" s="1"/>
  <c r="F26" i="4"/>
  <c r="AW26" i="4" s="1"/>
  <c r="G26" i="4"/>
  <c r="AX26" i="4" s="1"/>
  <c r="H26" i="4"/>
  <c r="AY26" i="4" s="1"/>
  <c r="I26" i="4"/>
  <c r="AZ26" i="4" s="1"/>
  <c r="J26" i="4"/>
  <c r="BA26" i="4" s="1"/>
  <c r="K26" i="4"/>
  <c r="BB26" i="4" s="1"/>
  <c r="L26" i="4"/>
  <c r="BC26" i="4" s="1"/>
  <c r="M26" i="4"/>
  <c r="BD26" i="4" s="1"/>
  <c r="N26" i="4"/>
  <c r="BE26" i="4" s="1"/>
  <c r="O26" i="4"/>
  <c r="BF26" i="4" s="1"/>
  <c r="P26" i="4"/>
  <c r="BG26" i="4" s="1"/>
  <c r="Q26" i="4"/>
  <c r="BH26" i="4" s="1"/>
  <c r="R26" i="4"/>
  <c r="BI26" i="4" s="1"/>
  <c r="S26" i="4"/>
  <c r="BJ26" i="4" s="1"/>
  <c r="T26" i="4"/>
  <c r="BK26" i="4" s="1"/>
  <c r="U26" i="4"/>
  <c r="BL26" i="4" s="1"/>
  <c r="V26" i="4"/>
  <c r="BM26" i="4" s="1"/>
  <c r="W26" i="4"/>
  <c r="BN26" i="4" s="1"/>
  <c r="X26" i="4"/>
  <c r="BO26" i="4" s="1"/>
  <c r="Y26" i="4"/>
  <c r="BP26" i="4" s="1"/>
  <c r="Z26" i="4"/>
  <c r="BQ26" i="4" s="1"/>
  <c r="AA26" i="4"/>
  <c r="BR26" i="4" s="1"/>
  <c r="AB26" i="4"/>
  <c r="BS26" i="4" s="1"/>
  <c r="AC26" i="4"/>
  <c r="BT26" i="4" s="1"/>
  <c r="AD26" i="4"/>
  <c r="BU26" i="4" s="1"/>
  <c r="AE26" i="4"/>
  <c r="BV26" i="4" s="1"/>
  <c r="AF26" i="4"/>
  <c r="BW26" i="4" s="1"/>
  <c r="AG26" i="4"/>
  <c r="BX26" i="4" s="1"/>
  <c r="AH26" i="4"/>
  <c r="BY26" i="4" s="1"/>
  <c r="AI26" i="4"/>
  <c r="BZ26" i="4" s="1"/>
  <c r="AJ26" i="4"/>
  <c r="CA26" i="4" s="1"/>
  <c r="AK26" i="4"/>
  <c r="CB26" i="4" s="1"/>
  <c r="AL26" i="4"/>
  <c r="CC26" i="4" s="1"/>
  <c r="AM26" i="4"/>
  <c r="CD26" i="4" s="1"/>
  <c r="C27" i="4"/>
  <c r="AT27" i="4" s="1"/>
  <c r="D27" i="4"/>
  <c r="AU27" i="4" s="1"/>
  <c r="E27" i="4"/>
  <c r="AV27" i="4" s="1"/>
  <c r="F27" i="4"/>
  <c r="AW27" i="4" s="1"/>
  <c r="G27" i="4"/>
  <c r="AX27" i="4" s="1"/>
  <c r="H27" i="4"/>
  <c r="AY27" i="4" s="1"/>
  <c r="I27" i="4"/>
  <c r="AZ27" i="4" s="1"/>
  <c r="J27" i="4"/>
  <c r="BA27" i="4" s="1"/>
  <c r="K27" i="4"/>
  <c r="BB27" i="4" s="1"/>
  <c r="L27" i="4"/>
  <c r="BC27" i="4" s="1"/>
  <c r="M27" i="4"/>
  <c r="BD27" i="4" s="1"/>
  <c r="N27" i="4"/>
  <c r="BE27" i="4" s="1"/>
  <c r="O27" i="4"/>
  <c r="BF27" i="4" s="1"/>
  <c r="P27" i="4"/>
  <c r="BG27" i="4" s="1"/>
  <c r="Q27" i="4"/>
  <c r="BH27" i="4" s="1"/>
  <c r="R27" i="4"/>
  <c r="BI27" i="4" s="1"/>
  <c r="S27" i="4"/>
  <c r="BJ27" i="4" s="1"/>
  <c r="T27" i="4"/>
  <c r="BK27" i="4" s="1"/>
  <c r="U27" i="4"/>
  <c r="BL27" i="4" s="1"/>
  <c r="V27" i="4"/>
  <c r="BM27" i="4" s="1"/>
  <c r="W27" i="4"/>
  <c r="BN27" i="4" s="1"/>
  <c r="X27" i="4"/>
  <c r="BO27" i="4" s="1"/>
  <c r="Y27" i="4"/>
  <c r="BP27" i="4" s="1"/>
  <c r="Z27" i="4"/>
  <c r="BQ27" i="4" s="1"/>
  <c r="AA27" i="4"/>
  <c r="BR27" i="4" s="1"/>
  <c r="AB27" i="4"/>
  <c r="BS27" i="4" s="1"/>
  <c r="AC27" i="4"/>
  <c r="BT27" i="4" s="1"/>
  <c r="AD27" i="4"/>
  <c r="BU27" i="4" s="1"/>
  <c r="AE27" i="4"/>
  <c r="BV27" i="4" s="1"/>
  <c r="AF27" i="4"/>
  <c r="BW27" i="4" s="1"/>
  <c r="AG27" i="4"/>
  <c r="BX27" i="4" s="1"/>
  <c r="AH27" i="4"/>
  <c r="BY27" i="4" s="1"/>
  <c r="AI27" i="4"/>
  <c r="BZ27" i="4" s="1"/>
  <c r="AJ27" i="4"/>
  <c r="CA27" i="4" s="1"/>
  <c r="AK27" i="4"/>
  <c r="CB27" i="4" s="1"/>
  <c r="AL27" i="4"/>
  <c r="CC27" i="4" s="1"/>
  <c r="AM27" i="4"/>
  <c r="CD27" i="4" s="1"/>
  <c r="C28" i="4"/>
  <c r="AT28" i="4" s="1"/>
  <c r="D28" i="4"/>
  <c r="AU28" i="4" s="1"/>
  <c r="E28" i="4"/>
  <c r="AV28" i="4" s="1"/>
  <c r="F28" i="4"/>
  <c r="AW28" i="4" s="1"/>
  <c r="G28" i="4"/>
  <c r="AX28" i="4" s="1"/>
  <c r="H28" i="4"/>
  <c r="AY28" i="4" s="1"/>
  <c r="I28" i="4"/>
  <c r="AZ28" i="4" s="1"/>
  <c r="J28" i="4"/>
  <c r="BA28" i="4" s="1"/>
  <c r="K28" i="4"/>
  <c r="BB28" i="4" s="1"/>
  <c r="L28" i="4"/>
  <c r="BC28" i="4" s="1"/>
  <c r="M28" i="4"/>
  <c r="BD28" i="4" s="1"/>
  <c r="N28" i="4"/>
  <c r="BE28" i="4" s="1"/>
  <c r="O28" i="4"/>
  <c r="BF28" i="4" s="1"/>
  <c r="P28" i="4"/>
  <c r="BG28" i="4" s="1"/>
  <c r="Q28" i="4"/>
  <c r="BH28" i="4" s="1"/>
  <c r="R28" i="4"/>
  <c r="BI28" i="4" s="1"/>
  <c r="S28" i="4"/>
  <c r="BJ28" i="4" s="1"/>
  <c r="T28" i="4"/>
  <c r="BK28" i="4" s="1"/>
  <c r="U28" i="4"/>
  <c r="BL28" i="4" s="1"/>
  <c r="V28" i="4"/>
  <c r="BM28" i="4" s="1"/>
  <c r="W28" i="4"/>
  <c r="BN28" i="4" s="1"/>
  <c r="X28" i="4"/>
  <c r="BO28" i="4" s="1"/>
  <c r="Y28" i="4"/>
  <c r="BP28" i="4" s="1"/>
  <c r="Z28" i="4"/>
  <c r="BQ28" i="4" s="1"/>
  <c r="AA28" i="4"/>
  <c r="BR28" i="4" s="1"/>
  <c r="AB28" i="4"/>
  <c r="BS28" i="4" s="1"/>
  <c r="AC28" i="4"/>
  <c r="BT28" i="4" s="1"/>
  <c r="AD28" i="4"/>
  <c r="BU28" i="4" s="1"/>
  <c r="AE28" i="4"/>
  <c r="BV28" i="4" s="1"/>
  <c r="AF28" i="4"/>
  <c r="BW28" i="4" s="1"/>
  <c r="AG28" i="4"/>
  <c r="BX28" i="4" s="1"/>
  <c r="AH28" i="4"/>
  <c r="BY28" i="4" s="1"/>
  <c r="AI28" i="4"/>
  <c r="BZ28" i="4" s="1"/>
  <c r="AJ28" i="4"/>
  <c r="CA28" i="4" s="1"/>
  <c r="AK28" i="4"/>
  <c r="CB28" i="4" s="1"/>
  <c r="AL28" i="4"/>
  <c r="CC28" i="4" s="1"/>
  <c r="AM28" i="4"/>
  <c r="CD28" i="4" s="1"/>
  <c r="C29" i="4"/>
  <c r="AT29" i="4" s="1"/>
  <c r="D29" i="4"/>
  <c r="AU29" i="4" s="1"/>
  <c r="E29" i="4"/>
  <c r="AV29" i="4" s="1"/>
  <c r="F29" i="4"/>
  <c r="AW29" i="4" s="1"/>
  <c r="G29" i="4"/>
  <c r="AX29" i="4" s="1"/>
  <c r="H29" i="4"/>
  <c r="AY29" i="4" s="1"/>
  <c r="I29" i="4"/>
  <c r="AZ29" i="4" s="1"/>
  <c r="J29" i="4"/>
  <c r="BA29" i="4" s="1"/>
  <c r="K29" i="4"/>
  <c r="BB29" i="4" s="1"/>
  <c r="L29" i="4"/>
  <c r="BC29" i="4" s="1"/>
  <c r="M29" i="4"/>
  <c r="BD29" i="4" s="1"/>
  <c r="N29" i="4"/>
  <c r="BE29" i="4" s="1"/>
  <c r="O29" i="4"/>
  <c r="BF29" i="4" s="1"/>
  <c r="P29" i="4"/>
  <c r="BG29" i="4" s="1"/>
  <c r="Q29" i="4"/>
  <c r="BH29" i="4" s="1"/>
  <c r="R29" i="4"/>
  <c r="BI29" i="4" s="1"/>
  <c r="S29" i="4"/>
  <c r="BJ29" i="4" s="1"/>
  <c r="T29" i="4"/>
  <c r="BK29" i="4" s="1"/>
  <c r="U29" i="4"/>
  <c r="BL29" i="4" s="1"/>
  <c r="V29" i="4"/>
  <c r="BM29" i="4" s="1"/>
  <c r="W29" i="4"/>
  <c r="BN29" i="4" s="1"/>
  <c r="X29" i="4"/>
  <c r="BO29" i="4" s="1"/>
  <c r="Y29" i="4"/>
  <c r="BP29" i="4" s="1"/>
  <c r="Z29" i="4"/>
  <c r="BQ29" i="4" s="1"/>
  <c r="AA29" i="4"/>
  <c r="BR29" i="4" s="1"/>
  <c r="AB29" i="4"/>
  <c r="BS29" i="4" s="1"/>
  <c r="AC29" i="4"/>
  <c r="BT29" i="4" s="1"/>
  <c r="AD29" i="4"/>
  <c r="BU29" i="4" s="1"/>
  <c r="AE29" i="4"/>
  <c r="BV29" i="4" s="1"/>
  <c r="AF29" i="4"/>
  <c r="BW29" i="4" s="1"/>
  <c r="AG29" i="4"/>
  <c r="BX29" i="4" s="1"/>
  <c r="AH29" i="4"/>
  <c r="BY29" i="4" s="1"/>
  <c r="AI29" i="4"/>
  <c r="BZ29" i="4" s="1"/>
  <c r="AJ29" i="4"/>
  <c r="CA29" i="4" s="1"/>
  <c r="AK29" i="4"/>
  <c r="CB29" i="4" s="1"/>
  <c r="AL29" i="4"/>
  <c r="CC29" i="4" s="1"/>
  <c r="AM29" i="4"/>
  <c r="CD29" i="4" s="1"/>
  <c r="C30" i="4"/>
  <c r="AT30" i="4" s="1"/>
  <c r="D30" i="4"/>
  <c r="AU30" i="4" s="1"/>
  <c r="E30" i="4"/>
  <c r="AV30" i="4" s="1"/>
  <c r="F30" i="4"/>
  <c r="AW30" i="4" s="1"/>
  <c r="G30" i="4"/>
  <c r="AX30" i="4" s="1"/>
  <c r="H30" i="4"/>
  <c r="AY30" i="4" s="1"/>
  <c r="I30" i="4"/>
  <c r="AZ30" i="4" s="1"/>
  <c r="J30" i="4"/>
  <c r="BA30" i="4" s="1"/>
  <c r="K30" i="4"/>
  <c r="BB30" i="4" s="1"/>
  <c r="L30" i="4"/>
  <c r="BC30" i="4" s="1"/>
  <c r="M30" i="4"/>
  <c r="BD30" i="4" s="1"/>
  <c r="N30" i="4"/>
  <c r="BE30" i="4" s="1"/>
  <c r="O30" i="4"/>
  <c r="BF30" i="4" s="1"/>
  <c r="P30" i="4"/>
  <c r="BG30" i="4" s="1"/>
  <c r="Q30" i="4"/>
  <c r="BH30" i="4" s="1"/>
  <c r="R30" i="4"/>
  <c r="BI30" i="4" s="1"/>
  <c r="S30" i="4"/>
  <c r="BJ30" i="4" s="1"/>
  <c r="T30" i="4"/>
  <c r="BK30" i="4" s="1"/>
  <c r="U30" i="4"/>
  <c r="BL30" i="4" s="1"/>
  <c r="V30" i="4"/>
  <c r="BM30" i="4" s="1"/>
  <c r="W30" i="4"/>
  <c r="BN30" i="4" s="1"/>
  <c r="X30" i="4"/>
  <c r="BO30" i="4" s="1"/>
  <c r="Y30" i="4"/>
  <c r="BP30" i="4" s="1"/>
  <c r="Z30" i="4"/>
  <c r="BQ30" i="4" s="1"/>
  <c r="AA30" i="4"/>
  <c r="BR30" i="4" s="1"/>
  <c r="AB30" i="4"/>
  <c r="BS30" i="4" s="1"/>
  <c r="AC30" i="4"/>
  <c r="BT30" i="4" s="1"/>
  <c r="AD30" i="4"/>
  <c r="BU30" i="4" s="1"/>
  <c r="AE30" i="4"/>
  <c r="BV30" i="4" s="1"/>
  <c r="AF30" i="4"/>
  <c r="BW30" i="4" s="1"/>
  <c r="AG30" i="4"/>
  <c r="BX30" i="4" s="1"/>
  <c r="AH30" i="4"/>
  <c r="BY30" i="4" s="1"/>
  <c r="AI30" i="4"/>
  <c r="BZ30" i="4" s="1"/>
  <c r="AJ30" i="4"/>
  <c r="CA30" i="4" s="1"/>
  <c r="AK30" i="4"/>
  <c r="CB30" i="4" s="1"/>
  <c r="AL30" i="4"/>
  <c r="CC30" i="4" s="1"/>
  <c r="AM30" i="4"/>
  <c r="CD30" i="4" s="1"/>
  <c r="C31" i="4"/>
  <c r="AT31" i="4" s="1"/>
  <c r="D31" i="4"/>
  <c r="AU31" i="4" s="1"/>
  <c r="E31" i="4"/>
  <c r="AV31" i="4" s="1"/>
  <c r="F31" i="4"/>
  <c r="AW31" i="4" s="1"/>
  <c r="G31" i="4"/>
  <c r="AX31" i="4" s="1"/>
  <c r="H31" i="4"/>
  <c r="AY31" i="4" s="1"/>
  <c r="I31" i="4"/>
  <c r="AZ31" i="4" s="1"/>
  <c r="J31" i="4"/>
  <c r="BA31" i="4" s="1"/>
  <c r="K31" i="4"/>
  <c r="BB31" i="4" s="1"/>
  <c r="L31" i="4"/>
  <c r="BC31" i="4" s="1"/>
  <c r="M31" i="4"/>
  <c r="BD31" i="4" s="1"/>
  <c r="N31" i="4"/>
  <c r="BE31" i="4" s="1"/>
  <c r="O31" i="4"/>
  <c r="BF31" i="4" s="1"/>
  <c r="P31" i="4"/>
  <c r="BG31" i="4" s="1"/>
  <c r="Q31" i="4"/>
  <c r="BH31" i="4" s="1"/>
  <c r="R31" i="4"/>
  <c r="BI31" i="4" s="1"/>
  <c r="S31" i="4"/>
  <c r="BJ31" i="4" s="1"/>
  <c r="T31" i="4"/>
  <c r="BK31" i="4" s="1"/>
  <c r="U31" i="4"/>
  <c r="BL31" i="4" s="1"/>
  <c r="V31" i="4"/>
  <c r="BM31" i="4" s="1"/>
  <c r="W31" i="4"/>
  <c r="BN31" i="4" s="1"/>
  <c r="X31" i="4"/>
  <c r="BO31" i="4" s="1"/>
  <c r="Y31" i="4"/>
  <c r="BP31" i="4" s="1"/>
  <c r="Z31" i="4"/>
  <c r="BQ31" i="4" s="1"/>
  <c r="AA31" i="4"/>
  <c r="BR31" i="4" s="1"/>
  <c r="AB31" i="4"/>
  <c r="BS31" i="4" s="1"/>
  <c r="AC31" i="4"/>
  <c r="BT31" i="4" s="1"/>
  <c r="AD31" i="4"/>
  <c r="BU31" i="4" s="1"/>
  <c r="AE31" i="4"/>
  <c r="BV31" i="4" s="1"/>
  <c r="AF31" i="4"/>
  <c r="BW31" i="4" s="1"/>
  <c r="AG31" i="4"/>
  <c r="BX31" i="4" s="1"/>
  <c r="AH31" i="4"/>
  <c r="BY31" i="4" s="1"/>
  <c r="AI31" i="4"/>
  <c r="BZ31" i="4" s="1"/>
  <c r="AJ31" i="4"/>
  <c r="CA31" i="4" s="1"/>
  <c r="AK31" i="4"/>
  <c r="CB31" i="4" s="1"/>
  <c r="AL31" i="4"/>
  <c r="CC31" i="4" s="1"/>
  <c r="AM31" i="4"/>
  <c r="CD31" i="4" s="1"/>
  <c r="C32" i="4"/>
  <c r="AT32" i="4" s="1"/>
  <c r="D32" i="4"/>
  <c r="AU32" i="4" s="1"/>
  <c r="E32" i="4"/>
  <c r="AV32" i="4" s="1"/>
  <c r="F32" i="4"/>
  <c r="AW32" i="4" s="1"/>
  <c r="G32" i="4"/>
  <c r="AX32" i="4" s="1"/>
  <c r="H32" i="4"/>
  <c r="AY32" i="4" s="1"/>
  <c r="I32" i="4"/>
  <c r="AZ32" i="4" s="1"/>
  <c r="J32" i="4"/>
  <c r="BA32" i="4" s="1"/>
  <c r="K32" i="4"/>
  <c r="BB32" i="4" s="1"/>
  <c r="L32" i="4"/>
  <c r="BC32" i="4" s="1"/>
  <c r="M32" i="4"/>
  <c r="BD32" i="4" s="1"/>
  <c r="N32" i="4"/>
  <c r="BE32" i="4" s="1"/>
  <c r="O32" i="4"/>
  <c r="BF32" i="4" s="1"/>
  <c r="P32" i="4"/>
  <c r="BG32" i="4" s="1"/>
  <c r="Q32" i="4"/>
  <c r="BH32" i="4" s="1"/>
  <c r="R32" i="4"/>
  <c r="BI32" i="4" s="1"/>
  <c r="S32" i="4"/>
  <c r="BJ32" i="4" s="1"/>
  <c r="T32" i="4"/>
  <c r="BK32" i="4" s="1"/>
  <c r="U32" i="4"/>
  <c r="BL32" i="4" s="1"/>
  <c r="V32" i="4"/>
  <c r="BM32" i="4" s="1"/>
  <c r="W32" i="4"/>
  <c r="BN32" i="4" s="1"/>
  <c r="X32" i="4"/>
  <c r="BO32" i="4" s="1"/>
  <c r="Y32" i="4"/>
  <c r="BP32" i="4" s="1"/>
  <c r="Z32" i="4"/>
  <c r="BQ32" i="4" s="1"/>
  <c r="AA32" i="4"/>
  <c r="BR32" i="4" s="1"/>
  <c r="AB32" i="4"/>
  <c r="BS32" i="4" s="1"/>
  <c r="AC32" i="4"/>
  <c r="BT32" i="4" s="1"/>
  <c r="AD32" i="4"/>
  <c r="BU32" i="4" s="1"/>
  <c r="AE32" i="4"/>
  <c r="BV32" i="4" s="1"/>
  <c r="AF32" i="4"/>
  <c r="BW32" i="4" s="1"/>
  <c r="AG32" i="4"/>
  <c r="BX32" i="4" s="1"/>
  <c r="AH32" i="4"/>
  <c r="BY32" i="4" s="1"/>
  <c r="AI32" i="4"/>
  <c r="BZ32" i="4" s="1"/>
  <c r="AJ32" i="4"/>
  <c r="CA32" i="4" s="1"/>
  <c r="AK32" i="4"/>
  <c r="CB32" i="4" s="1"/>
  <c r="AL32" i="4"/>
  <c r="CC32" i="4" s="1"/>
  <c r="AM32" i="4"/>
  <c r="CD32" i="4" s="1"/>
  <c r="C33" i="4"/>
  <c r="AT33" i="4" s="1"/>
  <c r="D33" i="4"/>
  <c r="AU33" i="4" s="1"/>
  <c r="E33" i="4"/>
  <c r="AV33" i="4" s="1"/>
  <c r="F33" i="4"/>
  <c r="AW33" i="4" s="1"/>
  <c r="G33" i="4"/>
  <c r="AX33" i="4" s="1"/>
  <c r="H33" i="4"/>
  <c r="AY33" i="4" s="1"/>
  <c r="I33" i="4"/>
  <c r="AZ33" i="4" s="1"/>
  <c r="J33" i="4"/>
  <c r="BA33" i="4" s="1"/>
  <c r="K33" i="4"/>
  <c r="BB33" i="4" s="1"/>
  <c r="L33" i="4"/>
  <c r="BC33" i="4" s="1"/>
  <c r="M33" i="4"/>
  <c r="BD33" i="4" s="1"/>
  <c r="N33" i="4"/>
  <c r="BE33" i="4" s="1"/>
  <c r="O33" i="4"/>
  <c r="BF33" i="4" s="1"/>
  <c r="P33" i="4"/>
  <c r="BG33" i="4" s="1"/>
  <c r="Q33" i="4"/>
  <c r="BH33" i="4" s="1"/>
  <c r="R33" i="4"/>
  <c r="BI33" i="4" s="1"/>
  <c r="S33" i="4"/>
  <c r="BJ33" i="4" s="1"/>
  <c r="T33" i="4"/>
  <c r="BK33" i="4" s="1"/>
  <c r="U33" i="4"/>
  <c r="BL33" i="4" s="1"/>
  <c r="V33" i="4"/>
  <c r="BM33" i="4" s="1"/>
  <c r="W33" i="4"/>
  <c r="BN33" i="4" s="1"/>
  <c r="X33" i="4"/>
  <c r="BO33" i="4" s="1"/>
  <c r="Y33" i="4"/>
  <c r="BP33" i="4" s="1"/>
  <c r="Z33" i="4"/>
  <c r="BQ33" i="4" s="1"/>
  <c r="AA33" i="4"/>
  <c r="BR33" i="4" s="1"/>
  <c r="AB33" i="4"/>
  <c r="BS33" i="4" s="1"/>
  <c r="AC33" i="4"/>
  <c r="BT33" i="4" s="1"/>
  <c r="AD33" i="4"/>
  <c r="BU33" i="4" s="1"/>
  <c r="AE33" i="4"/>
  <c r="BV33" i="4" s="1"/>
  <c r="AF33" i="4"/>
  <c r="BW33" i="4" s="1"/>
  <c r="AG33" i="4"/>
  <c r="BX33" i="4" s="1"/>
  <c r="AH33" i="4"/>
  <c r="BY33" i="4" s="1"/>
  <c r="AI33" i="4"/>
  <c r="BZ33" i="4" s="1"/>
  <c r="AJ33" i="4"/>
  <c r="CA33" i="4" s="1"/>
  <c r="AK33" i="4"/>
  <c r="CB33" i="4" s="1"/>
  <c r="AL33" i="4"/>
  <c r="CC33" i="4" s="1"/>
  <c r="AM33" i="4"/>
  <c r="CD33" i="4" s="1"/>
  <c r="C34" i="4"/>
  <c r="AT34" i="4" s="1"/>
  <c r="E34" i="4"/>
  <c r="AV34" i="4" s="1"/>
  <c r="F34" i="4"/>
  <c r="AW34" i="4" s="1"/>
  <c r="G34" i="4"/>
  <c r="AX34" i="4" s="1"/>
  <c r="H34" i="4"/>
  <c r="AY34" i="4" s="1"/>
  <c r="I34" i="4"/>
  <c r="AZ34" i="4" s="1"/>
  <c r="J34" i="4"/>
  <c r="BA34" i="4" s="1"/>
  <c r="K34" i="4"/>
  <c r="BB34" i="4" s="1"/>
  <c r="L34" i="4"/>
  <c r="BC34" i="4" s="1"/>
  <c r="M34" i="4"/>
  <c r="BD34" i="4" s="1"/>
  <c r="N34" i="4"/>
  <c r="BE34" i="4" s="1"/>
  <c r="O34" i="4"/>
  <c r="BF34" i="4" s="1"/>
  <c r="P34" i="4"/>
  <c r="BG34" i="4" s="1"/>
  <c r="Q34" i="4"/>
  <c r="BH34" i="4" s="1"/>
  <c r="R34" i="4"/>
  <c r="BI34" i="4" s="1"/>
  <c r="S34" i="4"/>
  <c r="BJ34" i="4" s="1"/>
  <c r="T34" i="4"/>
  <c r="BK34" i="4" s="1"/>
  <c r="U34" i="4"/>
  <c r="BL34" i="4" s="1"/>
  <c r="V34" i="4"/>
  <c r="BM34" i="4" s="1"/>
  <c r="W34" i="4"/>
  <c r="BN34" i="4" s="1"/>
  <c r="X34" i="4"/>
  <c r="BO34" i="4" s="1"/>
  <c r="Y34" i="4"/>
  <c r="BP34" i="4" s="1"/>
  <c r="Z34" i="4"/>
  <c r="BQ34" i="4" s="1"/>
  <c r="AA34" i="4"/>
  <c r="BR34" i="4" s="1"/>
  <c r="AB34" i="4"/>
  <c r="BS34" i="4" s="1"/>
  <c r="AC34" i="4"/>
  <c r="BT34" i="4" s="1"/>
  <c r="AD34" i="4"/>
  <c r="BU34" i="4" s="1"/>
  <c r="AE34" i="4"/>
  <c r="BV34" i="4" s="1"/>
  <c r="AF34" i="4"/>
  <c r="BW34" i="4" s="1"/>
  <c r="AG34" i="4"/>
  <c r="BX34" i="4" s="1"/>
  <c r="AH34" i="4"/>
  <c r="BY34" i="4" s="1"/>
  <c r="AI34" i="4"/>
  <c r="BZ34" i="4" s="1"/>
  <c r="AJ34" i="4"/>
  <c r="CA34" i="4" s="1"/>
  <c r="AK34" i="4"/>
  <c r="CB34" i="4" s="1"/>
  <c r="AL34" i="4"/>
  <c r="CC34" i="4" s="1"/>
  <c r="AM34" i="4"/>
  <c r="CD34" i="4" s="1"/>
  <c r="C35" i="4"/>
  <c r="AT35" i="4" s="1"/>
  <c r="D35" i="4"/>
  <c r="AU35" i="4" s="1"/>
  <c r="E35" i="4"/>
  <c r="AV35" i="4" s="1"/>
  <c r="F35" i="4"/>
  <c r="AW35" i="4" s="1"/>
  <c r="G35" i="4"/>
  <c r="AX35" i="4" s="1"/>
  <c r="H35" i="4"/>
  <c r="AY35" i="4" s="1"/>
  <c r="I35" i="4"/>
  <c r="AZ35" i="4" s="1"/>
  <c r="J35" i="4"/>
  <c r="BA35" i="4" s="1"/>
  <c r="K35" i="4"/>
  <c r="BB35" i="4" s="1"/>
  <c r="L35" i="4"/>
  <c r="BC35" i="4" s="1"/>
  <c r="M35" i="4"/>
  <c r="BD35" i="4" s="1"/>
  <c r="N35" i="4"/>
  <c r="BE35" i="4" s="1"/>
  <c r="O35" i="4"/>
  <c r="BF35" i="4" s="1"/>
  <c r="P35" i="4"/>
  <c r="BG35" i="4" s="1"/>
  <c r="Q35" i="4"/>
  <c r="BH35" i="4" s="1"/>
  <c r="R35" i="4"/>
  <c r="BI35" i="4" s="1"/>
  <c r="S35" i="4"/>
  <c r="BJ35" i="4" s="1"/>
  <c r="T35" i="4"/>
  <c r="BK35" i="4" s="1"/>
  <c r="U35" i="4"/>
  <c r="BL35" i="4" s="1"/>
  <c r="V35" i="4"/>
  <c r="BM35" i="4" s="1"/>
  <c r="W35" i="4"/>
  <c r="BN35" i="4" s="1"/>
  <c r="X35" i="4"/>
  <c r="BO35" i="4" s="1"/>
  <c r="Y35" i="4"/>
  <c r="BP35" i="4" s="1"/>
  <c r="Z35" i="4"/>
  <c r="BQ35" i="4" s="1"/>
  <c r="AA35" i="4"/>
  <c r="BR35" i="4" s="1"/>
  <c r="AB35" i="4"/>
  <c r="BS35" i="4" s="1"/>
  <c r="AC35" i="4"/>
  <c r="BT35" i="4" s="1"/>
  <c r="AD35" i="4"/>
  <c r="BU35" i="4" s="1"/>
  <c r="AE35" i="4"/>
  <c r="BV35" i="4" s="1"/>
  <c r="AF35" i="4"/>
  <c r="BW35" i="4" s="1"/>
  <c r="AG35" i="4"/>
  <c r="BX35" i="4" s="1"/>
  <c r="AH35" i="4"/>
  <c r="BY35" i="4" s="1"/>
  <c r="AI35" i="4"/>
  <c r="BZ35" i="4" s="1"/>
  <c r="AJ35" i="4"/>
  <c r="CA35" i="4" s="1"/>
  <c r="AK35" i="4"/>
  <c r="CB35" i="4" s="1"/>
  <c r="AL35" i="4"/>
  <c r="CC35" i="4" s="1"/>
  <c r="AM35" i="4"/>
  <c r="CD35" i="4" s="1"/>
  <c r="C36" i="4"/>
  <c r="AT36" i="4" s="1"/>
  <c r="D36" i="4"/>
  <c r="AU36" i="4" s="1"/>
  <c r="E36" i="4"/>
  <c r="AV36" i="4" s="1"/>
  <c r="F36" i="4"/>
  <c r="AW36" i="4" s="1"/>
  <c r="G36" i="4"/>
  <c r="AX36" i="4" s="1"/>
  <c r="H36" i="4"/>
  <c r="AY36" i="4" s="1"/>
  <c r="I36" i="4"/>
  <c r="AZ36" i="4" s="1"/>
  <c r="J36" i="4"/>
  <c r="BA36" i="4" s="1"/>
  <c r="K36" i="4"/>
  <c r="BB36" i="4" s="1"/>
  <c r="L36" i="4"/>
  <c r="BC36" i="4" s="1"/>
  <c r="M36" i="4"/>
  <c r="BD36" i="4" s="1"/>
  <c r="N36" i="4"/>
  <c r="BE36" i="4" s="1"/>
  <c r="O36" i="4"/>
  <c r="BF36" i="4" s="1"/>
  <c r="P36" i="4"/>
  <c r="BG36" i="4" s="1"/>
  <c r="Q36" i="4"/>
  <c r="BH36" i="4" s="1"/>
  <c r="R36" i="4"/>
  <c r="BI36" i="4" s="1"/>
  <c r="S36" i="4"/>
  <c r="BJ36" i="4" s="1"/>
  <c r="T36" i="4"/>
  <c r="BK36" i="4" s="1"/>
  <c r="U36" i="4"/>
  <c r="BL36" i="4" s="1"/>
  <c r="V36" i="4"/>
  <c r="BM36" i="4" s="1"/>
  <c r="W36" i="4"/>
  <c r="BN36" i="4" s="1"/>
  <c r="X36" i="4"/>
  <c r="BO36" i="4" s="1"/>
  <c r="Y36" i="4"/>
  <c r="BP36" i="4" s="1"/>
  <c r="Z36" i="4"/>
  <c r="BQ36" i="4" s="1"/>
  <c r="AA36" i="4"/>
  <c r="BR36" i="4" s="1"/>
  <c r="AB36" i="4"/>
  <c r="BS36" i="4" s="1"/>
  <c r="AC36" i="4"/>
  <c r="BT36" i="4" s="1"/>
  <c r="AD36" i="4"/>
  <c r="BU36" i="4" s="1"/>
  <c r="AE36" i="4"/>
  <c r="BV36" i="4" s="1"/>
  <c r="AF36" i="4"/>
  <c r="BW36" i="4" s="1"/>
  <c r="AG36" i="4"/>
  <c r="BX36" i="4" s="1"/>
  <c r="AH36" i="4"/>
  <c r="BY36" i="4" s="1"/>
  <c r="AI36" i="4"/>
  <c r="BZ36" i="4" s="1"/>
  <c r="AJ36" i="4"/>
  <c r="CA36" i="4" s="1"/>
  <c r="AK36" i="4"/>
  <c r="CB36" i="4" s="1"/>
  <c r="AL36" i="4"/>
  <c r="CC36" i="4" s="1"/>
  <c r="AM36" i="4"/>
  <c r="CD36" i="4" s="1"/>
  <c r="C37" i="4"/>
  <c r="AT37" i="4" s="1"/>
  <c r="D37" i="4"/>
  <c r="AU37" i="4" s="1"/>
  <c r="E37" i="4"/>
  <c r="AV37" i="4" s="1"/>
  <c r="F37" i="4"/>
  <c r="AW37" i="4" s="1"/>
  <c r="G37" i="4"/>
  <c r="AX37" i="4" s="1"/>
  <c r="H37" i="4"/>
  <c r="AY37" i="4" s="1"/>
  <c r="I37" i="4"/>
  <c r="AZ37" i="4" s="1"/>
  <c r="J37" i="4"/>
  <c r="BA37" i="4" s="1"/>
  <c r="K37" i="4"/>
  <c r="BB37" i="4" s="1"/>
  <c r="L37" i="4"/>
  <c r="BC37" i="4" s="1"/>
  <c r="M37" i="4"/>
  <c r="BD37" i="4" s="1"/>
  <c r="N37" i="4"/>
  <c r="BE37" i="4" s="1"/>
  <c r="O37" i="4"/>
  <c r="BF37" i="4" s="1"/>
  <c r="P37" i="4"/>
  <c r="BG37" i="4" s="1"/>
  <c r="Q37" i="4"/>
  <c r="BH37" i="4" s="1"/>
  <c r="R37" i="4"/>
  <c r="BI37" i="4" s="1"/>
  <c r="S37" i="4"/>
  <c r="BJ37" i="4" s="1"/>
  <c r="T37" i="4"/>
  <c r="BK37" i="4" s="1"/>
  <c r="U37" i="4"/>
  <c r="BL37" i="4" s="1"/>
  <c r="V37" i="4"/>
  <c r="BM37" i="4" s="1"/>
  <c r="W37" i="4"/>
  <c r="BN37" i="4" s="1"/>
  <c r="X37" i="4"/>
  <c r="BO37" i="4" s="1"/>
  <c r="Y37" i="4"/>
  <c r="BP37" i="4" s="1"/>
  <c r="Z37" i="4"/>
  <c r="BQ37" i="4" s="1"/>
  <c r="AA37" i="4"/>
  <c r="BR37" i="4" s="1"/>
  <c r="AB37" i="4"/>
  <c r="BS37" i="4" s="1"/>
  <c r="AC37" i="4"/>
  <c r="BT37" i="4" s="1"/>
  <c r="AD37" i="4"/>
  <c r="BU37" i="4" s="1"/>
  <c r="AE37" i="4"/>
  <c r="BV37" i="4" s="1"/>
  <c r="AF37" i="4"/>
  <c r="BW37" i="4" s="1"/>
  <c r="AG37" i="4"/>
  <c r="BX37" i="4" s="1"/>
  <c r="AH37" i="4"/>
  <c r="BY37" i="4" s="1"/>
  <c r="AI37" i="4"/>
  <c r="BZ37" i="4" s="1"/>
  <c r="AJ37" i="4"/>
  <c r="CA37" i="4" s="1"/>
  <c r="AK37" i="4"/>
  <c r="CB37" i="4" s="1"/>
  <c r="AL37" i="4"/>
  <c r="CC37" i="4" s="1"/>
  <c r="AM37" i="4"/>
  <c r="CD37" i="4" s="1"/>
  <c r="C38" i="4"/>
  <c r="AT38" i="4" s="1"/>
  <c r="D38" i="4"/>
  <c r="AU38" i="4" s="1"/>
  <c r="E38" i="4"/>
  <c r="AV38" i="4" s="1"/>
  <c r="F38" i="4"/>
  <c r="AW38" i="4" s="1"/>
  <c r="G38" i="4"/>
  <c r="AX38" i="4" s="1"/>
  <c r="H38" i="4"/>
  <c r="AY38" i="4" s="1"/>
  <c r="I38" i="4"/>
  <c r="AZ38" i="4" s="1"/>
  <c r="J38" i="4"/>
  <c r="BA38" i="4" s="1"/>
  <c r="K38" i="4"/>
  <c r="BB38" i="4" s="1"/>
  <c r="L38" i="4"/>
  <c r="BC38" i="4" s="1"/>
  <c r="M38" i="4"/>
  <c r="BD38" i="4" s="1"/>
  <c r="N38" i="4"/>
  <c r="BE38" i="4" s="1"/>
  <c r="O38" i="4"/>
  <c r="BF38" i="4" s="1"/>
  <c r="P38" i="4"/>
  <c r="BG38" i="4" s="1"/>
  <c r="Q38" i="4"/>
  <c r="BH38" i="4" s="1"/>
  <c r="R38" i="4"/>
  <c r="BI38" i="4" s="1"/>
  <c r="S38" i="4"/>
  <c r="BJ38" i="4" s="1"/>
  <c r="T38" i="4"/>
  <c r="BK38" i="4" s="1"/>
  <c r="U38" i="4"/>
  <c r="BL38" i="4" s="1"/>
  <c r="V38" i="4"/>
  <c r="BM38" i="4" s="1"/>
  <c r="W38" i="4"/>
  <c r="BN38" i="4" s="1"/>
  <c r="X38" i="4"/>
  <c r="BO38" i="4" s="1"/>
  <c r="Y38" i="4"/>
  <c r="BP38" i="4" s="1"/>
  <c r="Z38" i="4"/>
  <c r="BQ38" i="4" s="1"/>
  <c r="AA38" i="4"/>
  <c r="BR38" i="4" s="1"/>
  <c r="AB38" i="4"/>
  <c r="BS38" i="4" s="1"/>
  <c r="AC38" i="4"/>
  <c r="BT38" i="4" s="1"/>
  <c r="AD38" i="4"/>
  <c r="BU38" i="4" s="1"/>
  <c r="AE38" i="4"/>
  <c r="BV38" i="4" s="1"/>
  <c r="AF38" i="4"/>
  <c r="BW38" i="4" s="1"/>
  <c r="AG38" i="4"/>
  <c r="BX38" i="4" s="1"/>
  <c r="AH38" i="4"/>
  <c r="BY38" i="4" s="1"/>
  <c r="AI38" i="4"/>
  <c r="BZ38" i="4" s="1"/>
  <c r="AJ38" i="4"/>
  <c r="CA38" i="4" s="1"/>
  <c r="AK38" i="4"/>
  <c r="CB38" i="4" s="1"/>
  <c r="AL38" i="4"/>
  <c r="CC38" i="4" s="1"/>
  <c r="AM38" i="4"/>
  <c r="CD38" i="4" s="1"/>
  <c r="C39" i="4"/>
  <c r="AT39" i="4" s="1"/>
  <c r="D39" i="4"/>
  <c r="AU39" i="4" s="1"/>
  <c r="E39" i="4"/>
  <c r="AV39" i="4" s="1"/>
  <c r="F39" i="4"/>
  <c r="AW39" i="4" s="1"/>
  <c r="G39" i="4"/>
  <c r="AX39" i="4" s="1"/>
  <c r="H39" i="4"/>
  <c r="AY39" i="4" s="1"/>
  <c r="I39" i="4"/>
  <c r="AZ39" i="4" s="1"/>
  <c r="J39" i="4"/>
  <c r="BA39" i="4" s="1"/>
  <c r="K39" i="4"/>
  <c r="BB39" i="4" s="1"/>
  <c r="L39" i="4"/>
  <c r="BC39" i="4" s="1"/>
  <c r="M39" i="4"/>
  <c r="BD39" i="4" s="1"/>
  <c r="N39" i="4"/>
  <c r="BE39" i="4" s="1"/>
  <c r="O39" i="4"/>
  <c r="BF39" i="4" s="1"/>
  <c r="P39" i="4"/>
  <c r="BG39" i="4" s="1"/>
  <c r="Q39" i="4"/>
  <c r="BH39" i="4" s="1"/>
  <c r="R39" i="4"/>
  <c r="BI39" i="4" s="1"/>
  <c r="S39" i="4"/>
  <c r="BJ39" i="4" s="1"/>
  <c r="T39" i="4"/>
  <c r="BK39" i="4" s="1"/>
  <c r="U39" i="4"/>
  <c r="BL39" i="4" s="1"/>
  <c r="V39" i="4"/>
  <c r="BM39" i="4" s="1"/>
  <c r="W39" i="4"/>
  <c r="BN39" i="4" s="1"/>
  <c r="X39" i="4"/>
  <c r="BO39" i="4" s="1"/>
  <c r="Y39" i="4"/>
  <c r="BP39" i="4" s="1"/>
  <c r="Z39" i="4"/>
  <c r="BQ39" i="4" s="1"/>
  <c r="AA39" i="4"/>
  <c r="BR39" i="4" s="1"/>
  <c r="AB39" i="4"/>
  <c r="BS39" i="4" s="1"/>
  <c r="AC39" i="4"/>
  <c r="BT39" i="4" s="1"/>
  <c r="AD39" i="4"/>
  <c r="BU39" i="4" s="1"/>
  <c r="AE39" i="4"/>
  <c r="BV39" i="4" s="1"/>
  <c r="AF39" i="4"/>
  <c r="BW39" i="4" s="1"/>
  <c r="AG39" i="4"/>
  <c r="BX39" i="4" s="1"/>
  <c r="AH39" i="4"/>
  <c r="BY39" i="4" s="1"/>
  <c r="AI39" i="4"/>
  <c r="BZ39" i="4" s="1"/>
  <c r="AJ39" i="4"/>
  <c r="CA39" i="4" s="1"/>
  <c r="AK39" i="4"/>
  <c r="CB39" i="4" s="1"/>
  <c r="AL39" i="4"/>
  <c r="CC39" i="4" s="1"/>
  <c r="AM39" i="4"/>
  <c r="CD39" i="4" s="1"/>
  <c r="C40" i="4"/>
  <c r="AT40" i="4" s="1"/>
  <c r="D40" i="4"/>
  <c r="AU40" i="4" s="1"/>
  <c r="E40" i="4"/>
  <c r="AV40" i="4" s="1"/>
  <c r="F40" i="4"/>
  <c r="AW40" i="4" s="1"/>
  <c r="G40" i="4"/>
  <c r="AX40" i="4" s="1"/>
  <c r="H40" i="4"/>
  <c r="AY40" i="4" s="1"/>
  <c r="I40" i="4"/>
  <c r="AZ40" i="4" s="1"/>
  <c r="J40" i="4"/>
  <c r="BA40" i="4" s="1"/>
  <c r="K40" i="4"/>
  <c r="BB40" i="4" s="1"/>
  <c r="L40" i="4"/>
  <c r="BC40" i="4" s="1"/>
  <c r="M40" i="4"/>
  <c r="BD40" i="4" s="1"/>
  <c r="N40" i="4"/>
  <c r="BE40" i="4" s="1"/>
  <c r="O40" i="4"/>
  <c r="BF40" i="4" s="1"/>
  <c r="P40" i="4"/>
  <c r="BG40" i="4" s="1"/>
  <c r="Q40" i="4"/>
  <c r="BH40" i="4" s="1"/>
  <c r="R40" i="4"/>
  <c r="BI40" i="4" s="1"/>
  <c r="S40" i="4"/>
  <c r="BJ40" i="4" s="1"/>
  <c r="T40" i="4"/>
  <c r="BK40" i="4" s="1"/>
  <c r="U40" i="4"/>
  <c r="BL40" i="4" s="1"/>
  <c r="V40" i="4"/>
  <c r="BM40" i="4" s="1"/>
  <c r="W40" i="4"/>
  <c r="BN40" i="4" s="1"/>
  <c r="X40" i="4"/>
  <c r="BO40" i="4" s="1"/>
  <c r="Y40" i="4"/>
  <c r="BP40" i="4" s="1"/>
  <c r="Z40" i="4"/>
  <c r="BQ40" i="4" s="1"/>
  <c r="AA40" i="4"/>
  <c r="BR40" i="4" s="1"/>
  <c r="AB40" i="4"/>
  <c r="BS40" i="4" s="1"/>
  <c r="AC40" i="4"/>
  <c r="BT40" i="4" s="1"/>
  <c r="AD40" i="4"/>
  <c r="BU40" i="4" s="1"/>
  <c r="AE40" i="4"/>
  <c r="BV40" i="4" s="1"/>
  <c r="AF40" i="4"/>
  <c r="BW40" i="4" s="1"/>
  <c r="AG40" i="4"/>
  <c r="BX40" i="4" s="1"/>
  <c r="AH40" i="4"/>
  <c r="BY40" i="4" s="1"/>
  <c r="AI40" i="4"/>
  <c r="BZ40" i="4" s="1"/>
  <c r="AJ40" i="4"/>
  <c r="CA40" i="4" s="1"/>
  <c r="AK40" i="4"/>
  <c r="CB40" i="4" s="1"/>
  <c r="AL40" i="4"/>
  <c r="CC40" i="4" s="1"/>
  <c r="AM40" i="4"/>
  <c r="CD40" i="4" s="1"/>
  <c r="C41" i="4"/>
  <c r="AT41" i="4" s="1"/>
  <c r="D41" i="4"/>
  <c r="AU41" i="4" s="1"/>
  <c r="E41" i="4"/>
  <c r="AV41" i="4" s="1"/>
  <c r="F41" i="4"/>
  <c r="AW41" i="4" s="1"/>
  <c r="G41" i="4"/>
  <c r="AX41" i="4" s="1"/>
  <c r="H41" i="4"/>
  <c r="AY41" i="4" s="1"/>
  <c r="I41" i="4"/>
  <c r="AZ41" i="4" s="1"/>
  <c r="J41" i="4"/>
  <c r="BA41" i="4" s="1"/>
  <c r="K41" i="4"/>
  <c r="BB41" i="4" s="1"/>
  <c r="L41" i="4"/>
  <c r="BC41" i="4" s="1"/>
  <c r="M41" i="4"/>
  <c r="BD41" i="4" s="1"/>
  <c r="N41" i="4"/>
  <c r="BE41" i="4" s="1"/>
  <c r="O41" i="4"/>
  <c r="BF41" i="4" s="1"/>
  <c r="P41" i="4"/>
  <c r="BG41" i="4" s="1"/>
  <c r="Q41" i="4"/>
  <c r="BH41" i="4" s="1"/>
  <c r="R41" i="4"/>
  <c r="BI41" i="4" s="1"/>
  <c r="S41" i="4"/>
  <c r="BJ41" i="4" s="1"/>
  <c r="T41" i="4"/>
  <c r="BK41" i="4" s="1"/>
  <c r="U41" i="4"/>
  <c r="BL41" i="4" s="1"/>
  <c r="V41" i="4"/>
  <c r="BM41" i="4" s="1"/>
  <c r="W41" i="4"/>
  <c r="BN41" i="4" s="1"/>
  <c r="X41" i="4"/>
  <c r="BO41" i="4" s="1"/>
  <c r="Y41" i="4"/>
  <c r="BP41" i="4" s="1"/>
  <c r="Z41" i="4"/>
  <c r="BQ41" i="4" s="1"/>
  <c r="AA41" i="4"/>
  <c r="BR41" i="4" s="1"/>
  <c r="AB41" i="4"/>
  <c r="BS41" i="4" s="1"/>
  <c r="AC41" i="4"/>
  <c r="BT41" i="4" s="1"/>
  <c r="AD41" i="4"/>
  <c r="BU41" i="4" s="1"/>
  <c r="AE41" i="4"/>
  <c r="BV41" i="4" s="1"/>
  <c r="AF41" i="4"/>
  <c r="BW41" i="4" s="1"/>
  <c r="AG41" i="4"/>
  <c r="BX41" i="4" s="1"/>
  <c r="AH41" i="4"/>
  <c r="BY41" i="4" s="1"/>
  <c r="AI41" i="4"/>
  <c r="BZ41" i="4" s="1"/>
  <c r="AJ41" i="4"/>
  <c r="CA41" i="4" s="1"/>
  <c r="AK41" i="4"/>
  <c r="CB41" i="4" s="1"/>
  <c r="AL41" i="4"/>
  <c r="CC41" i="4" s="1"/>
  <c r="AM41" i="4"/>
  <c r="CD41" i="4" s="1"/>
  <c r="C42" i="4"/>
  <c r="AT42" i="4" s="1"/>
  <c r="D42" i="4"/>
  <c r="AU42" i="4" s="1"/>
  <c r="E42" i="4"/>
  <c r="AV42" i="4" s="1"/>
  <c r="F42" i="4"/>
  <c r="AW42" i="4" s="1"/>
  <c r="G42" i="4"/>
  <c r="AX42" i="4" s="1"/>
  <c r="H42" i="4"/>
  <c r="AY42" i="4" s="1"/>
  <c r="I42" i="4"/>
  <c r="AZ42" i="4" s="1"/>
  <c r="J42" i="4"/>
  <c r="BA42" i="4" s="1"/>
  <c r="K42" i="4"/>
  <c r="BB42" i="4" s="1"/>
  <c r="L42" i="4"/>
  <c r="BC42" i="4" s="1"/>
  <c r="M42" i="4"/>
  <c r="BD42" i="4" s="1"/>
  <c r="N42" i="4"/>
  <c r="BE42" i="4" s="1"/>
  <c r="O42" i="4"/>
  <c r="BF42" i="4" s="1"/>
  <c r="P42" i="4"/>
  <c r="BG42" i="4" s="1"/>
  <c r="Q42" i="4"/>
  <c r="BH42" i="4" s="1"/>
  <c r="R42" i="4"/>
  <c r="BI42" i="4" s="1"/>
  <c r="S42" i="4"/>
  <c r="BJ42" i="4" s="1"/>
  <c r="T42" i="4"/>
  <c r="BK42" i="4" s="1"/>
  <c r="U42" i="4"/>
  <c r="BL42" i="4" s="1"/>
  <c r="V42" i="4"/>
  <c r="BM42" i="4" s="1"/>
  <c r="W42" i="4"/>
  <c r="BN42" i="4" s="1"/>
  <c r="X42" i="4"/>
  <c r="BO42" i="4" s="1"/>
  <c r="Y42" i="4"/>
  <c r="BP42" i="4" s="1"/>
  <c r="Z42" i="4"/>
  <c r="BQ42" i="4" s="1"/>
  <c r="AA42" i="4"/>
  <c r="BR42" i="4" s="1"/>
  <c r="AB42" i="4"/>
  <c r="BS42" i="4" s="1"/>
  <c r="AC42" i="4"/>
  <c r="BT42" i="4" s="1"/>
  <c r="AD42" i="4"/>
  <c r="BU42" i="4" s="1"/>
  <c r="AE42" i="4"/>
  <c r="BV42" i="4" s="1"/>
  <c r="AF42" i="4"/>
  <c r="BW42" i="4" s="1"/>
  <c r="AG42" i="4"/>
  <c r="BX42" i="4" s="1"/>
  <c r="AH42" i="4"/>
  <c r="BY42" i="4" s="1"/>
  <c r="AI42" i="4"/>
  <c r="BZ42" i="4" s="1"/>
  <c r="AJ42" i="4"/>
  <c r="CA42" i="4" s="1"/>
  <c r="AK42" i="4"/>
  <c r="CB42" i="4" s="1"/>
  <c r="AL42" i="4"/>
  <c r="CC42" i="4" s="1"/>
  <c r="AM42" i="4"/>
  <c r="CD42" i="4" s="1"/>
  <c r="C43" i="4"/>
  <c r="AT43" i="4" s="1"/>
  <c r="D43" i="4"/>
  <c r="AU43" i="4" s="1"/>
  <c r="E43" i="4"/>
  <c r="AV43" i="4" s="1"/>
  <c r="F43" i="4"/>
  <c r="AW43" i="4" s="1"/>
  <c r="G43" i="4"/>
  <c r="AX43" i="4" s="1"/>
  <c r="H43" i="4"/>
  <c r="AY43" i="4" s="1"/>
  <c r="I43" i="4"/>
  <c r="AZ43" i="4" s="1"/>
  <c r="J43" i="4"/>
  <c r="BA43" i="4" s="1"/>
  <c r="K43" i="4"/>
  <c r="BB43" i="4" s="1"/>
  <c r="L43" i="4"/>
  <c r="BC43" i="4" s="1"/>
  <c r="M43" i="4"/>
  <c r="BD43" i="4" s="1"/>
  <c r="N43" i="4"/>
  <c r="BE43" i="4" s="1"/>
  <c r="O43" i="4"/>
  <c r="BF43" i="4" s="1"/>
  <c r="P43" i="4"/>
  <c r="BG43" i="4" s="1"/>
  <c r="Q43" i="4"/>
  <c r="BH43" i="4" s="1"/>
  <c r="R43" i="4"/>
  <c r="BI43" i="4" s="1"/>
  <c r="S43" i="4"/>
  <c r="BJ43" i="4" s="1"/>
  <c r="T43" i="4"/>
  <c r="BK43" i="4" s="1"/>
  <c r="U43" i="4"/>
  <c r="BL43" i="4" s="1"/>
  <c r="V43" i="4"/>
  <c r="BM43" i="4" s="1"/>
  <c r="W43" i="4"/>
  <c r="BN43" i="4" s="1"/>
  <c r="X43" i="4"/>
  <c r="BO43" i="4" s="1"/>
  <c r="Y43" i="4"/>
  <c r="BP43" i="4" s="1"/>
  <c r="Z43" i="4"/>
  <c r="BQ43" i="4" s="1"/>
  <c r="AA43" i="4"/>
  <c r="BR43" i="4" s="1"/>
  <c r="AB43" i="4"/>
  <c r="BS43" i="4" s="1"/>
  <c r="AC43" i="4"/>
  <c r="BT43" i="4" s="1"/>
  <c r="AD43" i="4"/>
  <c r="BU43" i="4" s="1"/>
  <c r="AE43" i="4"/>
  <c r="BV43" i="4" s="1"/>
  <c r="AF43" i="4"/>
  <c r="BW43" i="4" s="1"/>
  <c r="AG43" i="4"/>
  <c r="BX43" i="4" s="1"/>
  <c r="AH43" i="4"/>
  <c r="BY43" i="4" s="1"/>
  <c r="AI43" i="4"/>
  <c r="BZ43" i="4" s="1"/>
  <c r="AJ43" i="4"/>
  <c r="CA43" i="4" s="1"/>
  <c r="AK43" i="4"/>
  <c r="CB43" i="4" s="1"/>
  <c r="AL43" i="4"/>
  <c r="CC43" i="4" s="1"/>
  <c r="AM43" i="4"/>
  <c r="CD43" i="4" s="1"/>
  <c r="C44" i="4"/>
  <c r="AT44" i="4" s="1"/>
  <c r="D44" i="4"/>
  <c r="AU44" i="4" s="1"/>
  <c r="E44" i="4"/>
  <c r="AV44" i="4" s="1"/>
  <c r="F44" i="4"/>
  <c r="AW44" i="4" s="1"/>
  <c r="G44" i="4"/>
  <c r="AX44" i="4" s="1"/>
  <c r="H44" i="4"/>
  <c r="AY44" i="4" s="1"/>
  <c r="I44" i="4"/>
  <c r="AZ44" i="4" s="1"/>
  <c r="J44" i="4"/>
  <c r="BA44" i="4" s="1"/>
  <c r="K44" i="4"/>
  <c r="BB44" i="4" s="1"/>
  <c r="L44" i="4"/>
  <c r="BC44" i="4" s="1"/>
  <c r="M44" i="4"/>
  <c r="BD44" i="4" s="1"/>
  <c r="N44" i="4"/>
  <c r="BE44" i="4" s="1"/>
  <c r="O44" i="4"/>
  <c r="BF44" i="4" s="1"/>
  <c r="P44" i="4"/>
  <c r="BG44" i="4" s="1"/>
  <c r="Q44" i="4"/>
  <c r="BH44" i="4" s="1"/>
  <c r="R44" i="4"/>
  <c r="BI44" i="4" s="1"/>
  <c r="S44" i="4"/>
  <c r="BJ44" i="4" s="1"/>
  <c r="T44" i="4"/>
  <c r="BK44" i="4" s="1"/>
  <c r="U44" i="4"/>
  <c r="BL44" i="4" s="1"/>
  <c r="V44" i="4"/>
  <c r="BM44" i="4" s="1"/>
  <c r="W44" i="4"/>
  <c r="BN44" i="4" s="1"/>
  <c r="X44" i="4"/>
  <c r="BO44" i="4" s="1"/>
  <c r="Y44" i="4"/>
  <c r="BP44" i="4" s="1"/>
  <c r="Z44" i="4"/>
  <c r="BQ44" i="4" s="1"/>
  <c r="AA44" i="4"/>
  <c r="BR44" i="4" s="1"/>
  <c r="AB44" i="4"/>
  <c r="BS44" i="4" s="1"/>
  <c r="AC44" i="4"/>
  <c r="BT44" i="4" s="1"/>
  <c r="AD44" i="4"/>
  <c r="BU44" i="4" s="1"/>
  <c r="AE44" i="4"/>
  <c r="BV44" i="4" s="1"/>
  <c r="AF44" i="4"/>
  <c r="BW44" i="4" s="1"/>
  <c r="AG44" i="4"/>
  <c r="BX44" i="4" s="1"/>
  <c r="AH44" i="4"/>
  <c r="BY44" i="4" s="1"/>
  <c r="AI44" i="4"/>
  <c r="BZ44" i="4" s="1"/>
  <c r="AJ44" i="4"/>
  <c r="CA44" i="4" s="1"/>
  <c r="AK44" i="4"/>
  <c r="CB44" i="4" s="1"/>
  <c r="AL44" i="4"/>
  <c r="CC44" i="4" s="1"/>
  <c r="AM44" i="4"/>
  <c r="CD44" i="4" s="1"/>
  <c r="C45" i="4"/>
  <c r="AT45" i="4" s="1"/>
  <c r="D45" i="4"/>
  <c r="AU45" i="4" s="1"/>
  <c r="E45" i="4"/>
  <c r="AV45" i="4" s="1"/>
  <c r="F45" i="4"/>
  <c r="AW45" i="4" s="1"/>
  <c r="G45" i="4"/>
  <c r="AX45" i="4" s="1"/>
  <c r="H45" i="4"/>
  <c r="AY45" i="4" s="1"/>
  <c r="I45" i="4"/>
  <c r="AZ45" i="4" s="1"/>
  <c r="J45" i="4"/>
  <c r="BA45" i="4" s="1"/>
  <c r="K45" i="4"/>
  <c r="BB45" i="4" s="1"/>
  <c r="L45" i="4"/>
  <c r="BC45" i="4" s="1"/>
  <c r="M45" i="4"/>
  <c r="BD45" i="4" s="1"/>
  <c r="N45" i="4"/>
  <c r="BE45" i="4" s="1"/>
  <c r="O45" i="4"/>
  <c r="BF45" i="4" s="1"/>
  <c r="P45" i="4"/>
  <c r="BG45" i="4" s="1"/>
  <c r="Q45" i="4"/>
  <c r="BH45" i="4" s="1"/>
  <c r="R45" i="4"/>
  <c r="BI45" i="4" s="1"/>
  <c r="S45" i="4"/>
  <c r="BJ45" i="4" s="1"/>
  <c r="T45" i="4"/>
  <c r="BK45" i="4" s="1"/>
  <c r="U45" i="4"/>
  <c r="BL45" i="4" s="1"/>
  <c r="V45" i="4"/>
  <c r="BM45" i="4" s="1"/>
  <c r="W45" i="4"/>
  <c r="BN45" i="4" s="1"/>
  <c r="X45" i="4"/>
  <c r="BO45" i="4" s="1"/>
  <c r="Y45" i="4"/>
  <c r="BP45" i="4" s="1"/>
  <c r="Z45" i="4"/>
  <c r="BQ45" i="4" s="1"/>
  <c r="AA45" i="4"/>
  <c r="BR45" i="4" s="1"/>
  <c r="AB45" i="4"/>
  <c r="BS45" i="4" s="1"/>
  <c r="AC45" i="4"/>
  <c r="BT45" i="4" s="1"/>
  <c r="AD45" i="4"/>
  <c r="BU45" i="4" s="1"/>
  <c r="AE45" i="4"/>
  <c r="BV45" i="4" s="1"/>
  <c r="AF45" i="4"/>
  <c r="BW45" i="4" s="1"/>
  <c r="AG45" i="4"/>
  <c r="BX45" i="4" s="1"/>
  <c r="AH45" i="4"/>
  <c r="BY45" i="4" s="1"/>
  <c r="AI45" i="4"/>
  <c r="BZ45" i="4" s="1"/>
  <c r="AJ45" i="4"/>
  <c r="CA45" i="4" s="1"/>
  <c r="AK45" i="4"/>
  <c r="CB45" i="4" s="1"/>
  <c r="AL45" i="4"/>
  <c r="CC45" i="4" s="1"/>
  <c r="AM45" i="4"/>
  <c r="CD45" i="4" s="1"/>
  <c r="C46" i="4"/>
  <c r="AT46" i="4" s="1"/>
  <c r="D46" i="4"/>
  <c r="AU46" i="4" s="1"/>
  <c r="E46" i="4"/>
  <c r="AV46" i="4" s="1"/>
  <c r="F46" i="4"/>
  <c r="AW46" i="4" s="1"/>
  <c r="G46" i="4"/>
  <c r="AX46" i="4" s="1"/>
  <c r="H46" i="4"/>
  <c r="AY46" i="4" s="1"/>
  <c r="I46" i="4"/>
  <c r="AZ46" i="4" s="1"/>
  <c r="J46" i="4"/>
  <c r="BA46" i="4" s="1"/>
  <c r="K46" i="4"/>
  <c r="BB46" i="4" s="1"/>
  <c r="L46" i="4"/>
  <c r="BC46" i="4" s="1"/>
  <c r="M46" i="4"/>
  <c r="BD46" i="4" s="1"/>
  <c r="N46" i="4"/>
  <c r="BE46" i="4" s="1"/>
  <c r="O46" i="4"/>
  <c r="BF46" i="4" s="1"/>
  <c r="P46" i="4"/>
  <c r="BG46" i="4" s="1"/>
  <c r="Q46" i="4"/>
  <c r="BH46" i="4" s="1"/>
  <c r="R46" i="4"/>
  <c r="BI46" i="4" s="1"/>
  <c r="S46" i="4"/>
  <c r="BJ46" i="4" s="1"/>
  <c r="T46" i="4"/>
  <c r="BK46" i="4" s="1"/>
  <c r="U46" i="4"/>
  <c r="BL46" i="4" s="1"/>
  <c r="V46" i="4"/>
  <c r="BM46" i="4" s="1"/>
  <c r="W46" i="4"/>
  <c r="BN46" i="4" s="1"/>
  <c r="X46" i="4"/>
  <c r="BO46" i="4" s="1"/>
  <c r="Y46" i="4"/>
  <c r="BP46" i="4" s="1"/>
  <c r="Z46" i="4"/>
  <c r="BQ46" i="4" s="1"/>
  <c r="AA46" i="4"/>
  <c r="BR46" i="4" s="1"/>
  <c r="AB46" i="4"/>
  <c r="BS46" i="4" s="1"/>
  <c r="AC46" i="4"/>
  <c r="BT46" i="4" s="1"/>
  <c r="AD46" i="4"/>
  <c r="BU46" i="4" s="1"/>
  <c r="AE46" i="4"/>
  <c r="BV46" i="4" s="1"/>
  <c r="AF46" i="4"/>
  <c r="BW46" i="4" s="1"/>
  <c r="AG46" i="4"/>
  <c r="BX46" i="4" s="1"/>
  <c r="AH46" i="4"/>
  <c r="BY46" i="4" s="1"/>
  <c r="AI46" i="4"/>
  <c r="BZ46" i="4" s="1"/>
  <c r="AJ46" i="4"/>
  <c r="CA46" i="4" s="1"/>
  <c r="AK46" i="4"/>
  <c r="CB46" i="4" s="1"/>
  <c r="AL46" i="4"/>
  <c r="CC46" i="4" s="1"/>
  <c r="AM46" i="4"/>
  <c r="CD46" i="4" s="1"/>
  <c r="C47" i="4"/>
  <c r="AT47" i="4" s="1"/>
  <c r="D47" i="4"/>
  <c r="AU47" i="4" s="1"/>
  <c r="E47" i="4"/>
  <c r="AV47" i="4" s="1"/>
  <c r="F47" i="4"/>
  <c r="AW47" i="4" s="1"/>
  <c r="G47" i="4"/>
  <c r="AX47" i="4" s="1"/>
  <c r="H47" i="4"/>
  <c r="AY47" i="4" s="1"/>
  <c r="I47" i="4"/>
  <c r="AZ47" i="4" s="1"/>
  <c r="J47" i="4"/>
  <c r="BA47" i="4" s="1"/>
  <c r="K47" i="4"/>
  <c r="BB47" i="4" s="1"/>
  <c r="L47" i="4"/>
  <c r="BC47" i="4" s="1"/>
  <c r="M47" i="4"/>
  <c r="BD47" i="4" s="1"/>
  <c r="N47" i="4"/>
  <c r="BE47" i="4" s="1"/>
  <c r="O47" i="4"/>
  <c r="BF47" i="4" s="1"/>
  <c r="P47" i="4"/>
  <c r="BG47" i="4" s="1"/>
  <c r="Q47" i="4"/>
  <c r="BH47" i="4" s="1"/>
  <c r="R47" i="4"/>
  <c r="BI47" i="4" s="1"/>
  <c r="S47" i="4"/>
  <c r="BJ47" i="4" s="1"/>
  <c r="T47" i="4"/>
  <c r="BK47" i="4" s="1"/>
  <c r="U47" i="4"/>
  <c r="BL47" i="4" s="1"/>
  <c r="V47" i="4"/>
  <c r="BM47" i="4" s="1"/>
  <c r="W47" i="4"/>
  <c r="BN47" i="4" s="1"/>
  <c r="X47" i="4"/>
  <c r="BO47" i="4" s="1"/>
  <c r="Y47" i="4"/>
  <c r="BP47" i="4" s="1"/>
  <c r="Z47" i="4"/>
  <c r="BQ47" i="4" s="1"/>
  <c r="AA47" i="4"/>
  <c r="BR47" i="4" s="1"/>
  <c r="AB47" i="4"/>
  <c r="BS47" i="4" s="1"/>
  <c r="AC47" i="4"/>
  <c r="BT47" i="4" s="1"/>
  <c r="AD47" i="4"/>
  <c r="BU47" i="4" s="1"/>
  <c r="AE47" i="4"/>
  <c r="BV47" i="4" s="1"/>
  <c r="AF47" i="4"/>
  <c r="BW47" i="4" s="1"/>
  <c r="AG47" i="4"/>
  <c r="BX47" i="4" s="1"/>
  <c r="AH47" i="4"/>
  <c r="BY47" i="4" s="1"/>
  <c r="AI47" i="4"/>
  <c r="BZ47" i="4" s="1"/>
  <c r="AJ47" i="4"/>
  <c r="CA47" i="4" s="1"/>
  <c r="AK47" i="4"/>
  <c r="CB47" i="4" s="1"/>
  <c r="AL47" i="4"/>
  <c r="CC47" i="4" s="1"/>
  <c r="AM47" i="4"/>
  <c r="CD47" i="4" s="1"/>
  <c r="C48" i="4"/>
  <c r="AT48" i="4" s="1"/>
  <c r="D48" i="4"/>
  <c r="AU48" i="4" s="1"/>
  <c r="E48" i="4"/>
  <c r="AV48" i="4" s="1"/>
  <c r="F48" i="4"/>
  <c r="AW48" i="4" s="1"/>
  <c r="G48" i="4"/>
  <c r="AX48" i="4" s="1"/>
  <c r="H48" i="4"/>
  <c r="AY48" i="4" s="1"/>
  <c r="I48" i="4"/>
  <c r="AZ48" i="4" s="1"/>
  <c r="J48" i="4"/>
  <c r="BA48" i="4" s="1"/>
  <c r="K48" i="4"/>
  <c r="BB48" i="4" s="1"/>
  <c r="L48" i="4"/>
  <c r="BC48" i="4" s="1"/>
  <c r="M48" i="4"/>
  <c r="BD48" i="4" s="1"/>
  <c r="N48" i="4"/>
  <c r="BE48" i="4" s="1"/>
  <c r="O48" i="4"/>
  <c r="BF48" i="4" s="1"/>
  <c r="P48" i="4"/>
  <c r="BG48" i="4" s="1"/>
  <c r="Q48" i="4"/>
  <c r="BH48" i="4" s="1"/>
  <c r="R48" i="4"/>
  <c r="BI48" i="4" s="1"/>
  <c r="S48" i="4"/>
  <c r="BJ48" i="4" s="1"/>
  <c r="T48" i="4"/>
  <c r="BK48" i="4" s="1"/>
  <c r="U48" i="4"/>
  <c r="BL48" i="4" s="1"/>
  <c r="V48" i="4"/>
  <c r="BM48" i="4" s="1"/>
  <c r="W48" i="4"/>
  <c r="BN48" i="4" s="1"/>
  <c r="X48" i="4"/>
  <c r="BO48" i="4" s="1"/>
  <c r="Y48" i="4"/>
  <c r="BP48" i="4" s="1"/>
  <c r="Z48" i="4"/>
  <c r="BQ48" i="4" s="1"/>
  <c r="AA48" i="4"/>
  <c r="BR48" i="4" s="1"/>
  <c r="AB48" i="4"/>
  <c r="BS48" i="4" s="1"/>
  <c r="AC48" i="4"/>
  <c r="BT48" i="4" s="1"/>
  <c r="AD48" i="4"/>
  <c r="BU48" i="4" s="1"/>
  <c r="AE48" i="4"/>
  <c r="BV48" i="4" s="1"/>
  <c r="AF48" i="4"/>
  <c r="BW48" i="4" s="1"/>
  <c r="AG48" i="4"/>
  <c r="BX48" i="4" s="1"/>
  <c r="AH48" i="4"/>
  <c r="BY48" i="4" s="1"/>
  <c r="AI48" i="4"/>
  <c r="BZ48" i="4" s="1"/>
  <c r="AJ48" i="4"/>
  <c r="CA48" i="4" s="1"/>
  <c r="AK48" i="4"/>
  <c r="CB48" i="4" s="1"/>
  <c r="AL48" i="4"/>
  <c r="CC48" i="4" s="1"/>
  <c r="AM48" i="4"/>
  <c r="CD48" i="4" s="1"/>
  <c r="C49" i="4"/>
  <c r="AT49" i="4" s="1"/>
  <c r="D49" i="4"/>
  <c r="AU49" i="4" s="1"/>
  <c r="E49" i="4"/>
  <c r="AV49" i="4" s="1"/>
  <c r="F49" i="4"/>
  <c r="AW49" i="4" s="1"/>
  <c r="G49" i="4"/>
  <c r="AX49" i="4" s="1"/>
  <c r="H49" i="4"/>
  <c r="AY49" i="4" s="1"/>
  <c r="I49" i="4"/>
  <c r="AZ49" i="4" s="1"/>
  <c r="J49" i="4"/>
  <c r="BA49" i="4" s="1"/>
  <c r="K49" i="4"/>
  <c r="BB49" i="4" s="1"/>
  <c r="L49" i="4"/>
  <c r="BC49" i="4" s="1"/>
  <c r="M49" i="4"/>
  <c r="BD49" i="4" s="1"/>
  <c r="N49" i="4"/>
  <c r="BE49" i="4" s="1"/>
  <c r="O49" i="4"/>
  <c r="BF49" i="4" s="1"/>
  <c r="P49" i="4"/>
  <c r="BG49" i="4" s="1"/>
  <c r="Q49" i="4"/>
  <c r="BH49" i="4" s="1"/>
  <c r="R49" i="4"/>
  <c r="BI49" i="4" s="1"/>
  <c r="S49" i="4"/>
  <c r="BJ49" i="4" s="1"/>
  <c r="T49" i="4"/>
  <c r="BK49" i="4" s="1"/>
  <c r="U49" i="4"/>
  <c r="BL49" i="4" s="1"/>
  <c r="V49" i="4"/>
  <c r="BM49" i="4" s="1"/>
  <c r="W49" i="4"/>
  <c r="BN49" i="4" s="1"/>
  <c r="X49" i="4"/>
  <c r="BO49" i="4" s="1"/>
  <c r="Y49" i="4"/>
  <c r="BP49" i="4" s="1"/>
  <c r="Z49" i="4"/>
  <c r="BQ49" i="4" s="1"/>
  <c r="AA49" i="4"/>
  <c r="BR49" i="4" s="1"/>
  <c r="AB49" i="4"/>
  <c r="BS49" i="4" s="1"/>
  <c r="AC49" i="4"/>
  <c r="BT49" i="4" s="1"/>
  <c r="AD49" i="4"/>
  <c r="BU49" i="4" s="1"/>
  <c r="AE49" i="4"/>
  <c r="BV49" i="4" s="1"/>
  <c r="AF49" i="4"/>
  <c r="BW49" i="4" s="1"/>
  <c r="AG49" i="4"/>
  <c r="BX49" i="4" s="1"/>
  <c r="AH49" i="4"/>
  <c r="BY49" i="4" s="1"/>
  <c r="AI49" i="4"/>
  <c r="BZ49" i="4" s="1"/>
  <c r="AJ49" i="4"/>
  <c r="CA49" i="4" s="1"/>
  <c r="AK49" i="4"/>
  <c r="CB49" i="4" s="1"/>
  <c r="AL49" i="4"/>
  <c r="CC49" i="4" s="1"/>
  <c r="AM49" i="4"/>
  <c r="CD49" i="4" s="1"/>
  <c r="C50" i="4"/>
  <c r="AT50" i="4" s="1"/>
  <c r="D50" i="4"/>
  <c r="AU50" i="4" s="1"/>
  <c r="E50" i="4"/>
  <c r="AV50" i="4" s="1"/>
  <c r="F50" i="4"/>
  <c r="AW50" i="4" s="1"/>
  <c r="G50" i="4"/>
  <c r="AX50" i="4" s="1"/>
  <c r="H50" i="4"/>
  <c r="AY50" i="4" s="1"/>
  <c r="I50" i="4"/>
  <c r="AZ50" i="4" s="1"/>
  <c r="J50" i="4"/>
  <c r="BA50" i="4" s="1"/>
  <c r="K50" i="4"/>
  <c r="BB50" i="4" s="1"/>
  <c r="L50" i="4"/>
  <c r="BC50" i="4" s="1"/>
  <c r="M50" i="4"/>
  <c r="BD50" i="4" s="1"/>
  <c r="N50" i="4"/>
  <c r="BE50" i="4" s="1"/>
  <c r="O50" i="4"/>
  <c r="BF50" i="4" s="1"/>
  <c r="P50" i="4"/>
  <c r="BG50" i="4" s="1"/>
  <c r="Q50" i="4"/>
  <c r="BH50" i="4" s="1"/>
  <c r="R50" i="4"/>
  <c r="BI50" i="4" s="1"/>
  <c r="S50" i="4"/>
  <c r="BJ50" i="4" s="1"/>
  <c r="T50" i="4"/>
  <c r="BK50" i="4" s="1"/>
  <c r="U50" i="4"/>
  <c r="BL50" i="4" s="1"/>
  <c r="V50" i="4"/>
  <c r="BM50" i="4" s="1"/>
  <c r="W50" i="4"/>
  <c r="BN50" i="4" s="1"/>
  <c r="X50" i="4"/>
  <c r="BO50" i="4" s="1"/>
  <c r="Y50" i="4"/>
  <c r="BP50" i="4" s="1"/>
  <c r="Z50" i="4"/>
  <c r="BQ50" i="4" s="1"/>
  <c r="AA50" i="4"/>
  <c r="BR50" i="4" s="1"/>
  <c r="AB50" i="4"/>
  <c r="BS50" i="4" s="1"/>
  <c r="AC50" i="4"/>
  <c r="BT50" i="4" s="1"/>
  <c r="AD50" i="4"/>
  <c r="BU50" i="4" s="1"/>
  <c r="AE50" i="4"/>
  <c r="BV50" i="4" s="1"/>
  <c r="AF50" i="4"/>
  <c r="BW50" i="4" s="1"/>
  <c r="AG50" i="4"/>
  <c r="BX50" i="4" s="1"/>
  <c r="AH50" i="4"/>
  <c r="BY50" i="4" s="1"/>
  <c r="AI50" i="4"/>
  <c r="BZ50" i="4" s="1"/>
  <c r="AJ50" i="4"/>
  <c r="CA50" i="4" s="1"/>
  <c r="AK50" i="4"/>
  <c r="CB50" i="4" s="1"/>
  <c r="AL50" i="4"/>
  <c r="CC50" i="4" s="1"/>
  <c r="AM50" i="4"/>
  <c r="CD50" i="4" s="1"/>
  <c r="C51" i="4"/>
  <c r="AT51" i="4" s="1"/>
  <c r="D51" i="4"/>
  <c r="AU51" i="4" s="1"/>
  <c r="E51" i="4"/>
  <c r="AV51" i="4" s="1"/>
  <c r="F51" i="4"/>
  <c r="AW51" i="4" s="1"/>
  <c r="G51" i="4"/>
  <c r="AX51" i="4" s="1"/>
  <c r="H51" i="4"/>
  <c r="AY51" i="4" s="1"/>
  <c r="I51" i="4"/>
  <c r="AZ51" i="4" s="1"/>
  <c r="J51" i="4"/>
  <c r="BA51" i="4" s="1"/>
  <c r="K51" i="4"/>
  <c r="BB51" i="4" s="1"/>
  <c r="L51" i="4"/>
  <c r="BC51" i="4" s="1"/>
  <c r="M51" i="4"/>
  <c r="BD51" i="4" s="1"/>
  <c r="N51" i="4"/>
  <c r="BE51" i="4" s="1"/>
  <c r="O51" i="4"/>
  <c r="BF51" i="4" s="1"/>
  <c r="P51" i="4"/>
  <c r="BG51" i="4" s="1"/>
  <c r="Q51" i="4"/>
  <c r="BH51" i="4" s="1"/>
  <c r="R51" i="4"/>
  <c r="BI51" i="4" s="1"/>
  <c r="S51" i="4"/>
  <c r="BJ51" i="4" s="1"/>
  <c r="T51" i="4"/>
  <c r="BK51" i="4" s="1"/>
  <c r="U51" i="4"/>
  <c r="BL51" i="4" s="1"/>
  <c r="V51" i="4"/>
  <c r="BM51" i="4" s="1"/>
  <c r="W51" i="4"/>
  <c r="BN51" i="4" s="1"/>
  <c r="X51" i="4"/>
  <c r="BO51" i="4" s="1"/>
  <c r="Y51" i="4"/>
  <c r="BP51" i="4" s="1"/>
  <c r="Z51" i="4"/>
  <c r="BQ51" i="4" s="1"/>
  <c r="AA51" i="4"/>
  <c r="BR51" i="4" s="1"/>
  <c r="AB51" i="4"/>
  <c r="BS51" i="4" s="1"/>
  <c r="AC51" i="4"/>
  <c r="BT51" i="4" s="1"/>
  <c r="AD51" i="4"/>
  <c r="BU51" i="4" s="1"/>
  <c r="AE51" i="4"/>
  <c r="BV51" i="4" s="1"/>
  <c r="AF51" i="4"/>
  <c r="BW51" i="4" s="1"/>
  <c r="AG51" i="4"/>
  <c r="BX51" i="4" s="1"/>
  <c r="AH51" i="4"/>
  <c r="BY51" i="4" s="1"/>
  <c r="AI51" i="4"/>
  <c r="BZ51" i="4" s="1"/>
  <c r="AJ51" i="4"/>
  <c r="CA51" i="4" s="1"/>
  <c r="AK51" i="4"/>
  <c r="CB51" i="4" s="1"/>
  <c r="AL51" i="4"/>
  <c r="CC51" i="4" s="1"/>
  <c r="AM51" i="4"/>
  <c r="CD51" i="4" s="1"/>
  <c r="C52" i="4"/>
  <c r="AT52" i="4" s="1"/>
  <c r="D52" i="4"/>
  <c r="AU52" i="4" s="1"/>
  <c r="E52" i="4"/>
  <c r="AV52" i="4" s="1"/>
  <c r="F52" i="4"/>
  <c r="AW52" i="4" s="1"/>
  <c r="G52" i="4"/>
  <c r="AX52" i="4" s="1"/>
  <c r="H52" i="4"/>
  <c r="AY52" i="4" s="1"/>
  <c r="I52" i="4"/>
  <c r="AZ52" i="4" s="1"/>
  <c r="J52" i="4"/>
  <c r="BA52" i="4" s="1"/>
  <c r="K52" i="4"/>
  <c r="BB52" i="4" s="1"/>
  <c r="L52" i="4"/>
  <c r="BC52" i="4" s="1"/>
  <c r="M52" i="4"/>
  <c r="BD52" i="4" s="1"/>
  <c r="N52" i="4"/>
  <c r="BE52" i="4" s="1"/>
  <c r="O52" i="4"/>
  <c r="BF52" i="4" s="1"/>
  <c r="P52" i="4"/>
  <c r="BG52" i="4" s="1"/>
  <c r="Q52" i="4"/>
  <c r="BH52" i="4" s="1"/>
  <c r="R52" i="4"/>
  <c r="BI52" i="4" s="1"/>
  <c r="S52" i="4"/>
  <c r="BJ52" i="4" s="1"/>
  <c r="T52" i="4"/>
  <c r="BK52" i="4" s="1"/>
  <c r="U52" i="4"/>
  <c r="BL52" i="4" s="1"/>
  <c r="V52" i="4"/>
  <c r="BM52" i="4" s="1"/>
  <c r="W52" i="4"/>
  <c r="BN52" i="4" s="1"/>
  <c r="X52" i="4"/>
  <c r="BO52" i="4" s="1"/>
  <c r="Y52" i="4"/>
  <c r="BP52" i="4" s="1"/>
  <c r="Z52" i="4"/>
  <c r="BQ52" i="4" s="1"/>
  <c r="AA52" i="4"/>
  <c r="BR52" i="4" s="1"/>
  <c r="AB52" i="4"/>
  <c r="BS52" i="4" s="1"/>
  <c r="AC52" i="4"/>
  <c r="BT52" i="4" s="1"/>
  <c r="AD52" i="4"/>
  <c r="BU52" i="4" s="1"/>
  <c r="AE52" i="4"/>
  <c r="BV52" i="4" s="1"/>
  <c r="AF52" i="4"/>
  <c r="BW52" i="4" s="1"/>
  <c r="AG52" i="4"/>
  <c r="BX52" i="4" s="1"/>
  <c r="AH52" i="4"/>
  <c r="BY52" i="4" s="1"/>
  <c r="AI52" i="4"/>
  <c r="BZ52" i="4" s="1"/>
  <c r="AJ52" i="4"/>
  <c r="CA52" i="4" s="1"/>
  <c r="AK52" i="4"/>
  <c r="CB52" i="4" s="1"/>
  <c r="AL52" i="4"/>
  <c r="CC52" i="4" s="1"/>
  <c r="AM52" i="4"/>
  <c r="CD52" i="4" s="1"/>
  <c r="C53" i="4"/>
  <c r="AT53" i="4" s="1"/>
  <c r="D53" i="4"/>
  <c r="AU53" i="4" s="1"/>
  <c r="E53" i="4"/>
  <c r="AV53" i="4" s="1"/>
  <c r="F53" i="4"/>
  <c r="AW53" i="4" s="1"/>
  <c r="G53" i="4"/>
  <c r="AX53" i="4" s="1"/>
  <c r="H53" i="4"/>
  <c r="AY53" i="4" s="1"/>
  <c r="I53" i="4"/>
  <c r="AZ53" i="4" s="1"/>
  <c r="J53" i="4"/>
  <c r="BA53" i="4" s="1"/>
  <c r="K53" i="4"/>
  <c r="BB53" i="4" s="1"/>
  <c r="L53" i="4"/>
  <c r="BC53" i="4" s="1"/>
  <c r="M53" i="4"/>
  <c r="BD53" i="4" s="1"/>
  <c r="N53" i="4"/>
  <c r="BE53" i="4" s="1"/>
  <c r="O53" i="4"/>
  <c r="BF53" i="4" s="1"/>
  <c r="P53" i="4"/>
  <c r="BG53" i="4" s="1"/>
  <c r="Q53" i="4"/>
  <c r="BH53" i="4" s="1"/>
  <c r="R53" i="4"/>
  <c r="BI53" i="4" s="1"/>
  <c r="S53" i="4"/>
  <c r="BJ53" i="4" s="1"/>
  <c r="T53" i="4"/>
  <c r="BK53" i="4" s="1"/>
  <c r="U53" i="4"/>
  <c r="BL53" i="4" s="1"/>
  <c r="V53" i="4"/>
  <c r="BM53" i="4" s="1"/>
  <c r="W53" i="4"/>
  <c r="BN53" i="4" s="1"/>
  <c r="X53" i="4"/>
  <c r="BO53" i="4" s="1"/>
  <c r="Y53" i="4"/>
  <c r="BP53" i="4" s="1"/>
  <c r="Z53" i="4"/>
  <c r="BQ53" i="4" s="1"/>
  <c r="AA53" i="4"/>
  <c r="BR53" i="4" s="1"/>
  <c r="AB53" i="4"/>
  <c r="BS53" i="4" s="1"/>
  <c r="AC53" i="4"/>
  <c r="BT53" i="4" s="1"/>
  <c r="AD53" i="4"/>
  <c r="BU53" i="4" s="1"/>
  <c r="AE53" i="4"/>
  <c r="BV53" i="4" s="1"/>
  <c r="AF53" i="4"/>
  <c r="BW53" i="4" s="1"/>
  <c r="AG53" i="4"/>
  <c r="BX53" i="4" s="1"/>
  <c r="AH53" i="4"/>
  <c r="BY53" i="4" s="1"/>
  <c r="AI53" i="4"/>
  <c r="BZ53" i="4" s="1"/>
  <c r="AJ53" i="4"/>
  <c r="CA53" i="4" s="1"/>
  <c r="AK53" i="4"/>
  <c r="CB53" i="4" s="1"/>
  <c r="AL53" i="4"/>
  <c r="CC53" i="4" s="1"/>
  <c r="AM53" i="4"/>
  <c r="CD53" i="4" s="1"/>
  <c r="C54" i="4"/>
  <c r="AT54" i="4" s="1"/>
  <c r="D54" i="4"/>
  <c r="AU54" i="4" s="1"/>
  <c r="E54" i="4"/>
  <c r="AV54" i="4" s="1"/>
  <c r="F54" i="4"/>
  <c r="AW54" i="4" s="1"/>
  <c r="G54" i="4"/>
  <c r="AX54" i="4" s="1"/>
  <c r="H54" i="4"/>
  <c r="AY54" i="4" s="1"/>
  <c r="I54" i="4"/>
  <c r="AZ54" i="4" s="1"/>
  <c r="J54" i="4"/>
  <c r="BA54" i="4" s="1"/>
  <c r="K54" i="4"/>
  <c r="BB54" i="4" s="1"/>
  <c r="L54" i="4"/>
  <c r="BC54" i="4" s="1"/>
  <c r="M54" i="4"/>
  <c r="BD54" i="4" s="1"/>
  <c r="N54" i="4"/>
  <c r="BE54" i="4" s="1"/>
  <c r="O54" i="4"/>
  <c r="BF54" i="4" s="1"/>
  <c r="P54" i="4"/>
  <c r="BG54" i="4" s="1"/>
  <c r="Q54" i="4"/>
  <c r="BH54" i="4" s="1"/>
  <c r="R54" i="4"/>
  <c r="BI54" i="4" s="1"/>
  <c r="S54" i="4"/>
  <c r="BJ54" i="4" s="1"/>
  <c r="T54" i="4"/>
  <c r="BK54" i="4" s="1"/>
  <c r="U54" i="4"/>
  <c r="BL54" i="4" s="1"/>
  <c r="V54" i="4"/>
  <c r="BM54" i="4" s="1"/>
  <c r="W54" i="4"/>
  <c r="BN54" i="4" s="1"/>
  <c r="X54" i="4"/>
  <c r="BO54" i="4" s="1"/>
  <c r="Y54" i="4"/>
  <c r="BP54" i="4" s="1"/>
  <c r="Z54" i="4"/>
  <c r="BQ54" i="4" s="1"/>
  <c r="AA54" i="4"/>
  <c r="BR54" i="4" s="1"/>
  <c r="AB54" i="4"/>
  <c r="BS54" i="4" s="1"/>
  <c r="AC54" i="4"/>
  <c r="BT54" i="4" s="1"/>
  <c r="AD54" i="4"/>
  <c r="BU54" i="4" s="1"/>
  <c r="AE54" i="4"/>
  <c r="BV54" i="4" s="1"/>
  <c r="AF54" i="4"/>
  <c r="BW54" i="4" s="1"/>
  <c r="AG54" i="4"/>
  <c r="BX54" i="4" s="1"/>
  <c r="AH54" i="4"/>
  <c r="BY54" i="4" s="1"/>
  <c r="AI54" i="4"/>
  <c r="BZ54" i="4" s="1"/>
  <c r="AJ54" i="4"/>
  <c r="CA54" i="4" s="1"/>
  <c r="AK54" i="4"/>
  <c r="CB54" i="4" s="1"/>
  <c r="AL54" i="4"/>
  <c r="CC54" i="4" s="1"/>
  <c r="AM54" i="4"/>
  <c r="CD54" i="4" s="1"/>
  <c r="C55" i="4"/>
  <c r="AT55" i="4" s="1"/>
  <c r="D55" i="4"/>
  <c r="AU55" i="4" s="1"/>
  <c r="E55" i="4"/>
  <c r="AV55" i="4" s="1"/>
  <c r="F55" i="4"/>
  <c r="AW55" i="4" s="1"/>
  <c r="G55" i="4"/>
  <c r="AX55" i="4" s="1"/>
  <c r="H55" i="4"/>
  <c r="AY55" i="4" s="1"/>
  <c r="I55" i="4"/>
  <c r="AZ55" i="4" s="1"/>
  <c r="J55" i="4"/>
  <c r="BA55" i="4" s="1"/>
  <c r="K55" i="4"/>
  <c r="BB55" i="4" s="1"/>
  <c r="L55" i="4"/>
  <c r="BC55" i="4" s="1"/>
  <c r="M55" i="4"/>
  <c r="BD55" i="4" s="1"/>
  <c r="N55" i="4"/>
  <c r="BE55" i="4" s="1"/>
  <c r="O55" i="4"/>
  <c r="BF55" i="4" s="1"/>
  <c r="P55" i="4"/>
  <c r="BG55" i="4" s="1"/>
  <c r="Q55" i="4"/>
  <c r="BH55" i="4" s="1"/>
  <c r="R55" i="4"/>
  <c r="BI55" i="4" s="1"/>
  <c r="S55" i="4"/>
  <c r="BJ55" i="4" s="1"/>
  <c r="T55" i="4"/>
  <c r="BK55" i="4" s="1"/>
  <c r="U55" i="4"/>
  <c r="BL55" i="4" s="1"/>
  <c r="V55" i="4"/>
  <c r="BM55" i="4" s="1"/>
  <c r="W55" i="4"/>
  <c r="BN55" i="4" s="1"/>
  <c r="X55" i="4"/>
  <c r="BO55" i="4" s="1"/>
  <c r="Y55" i="4"/>
  <c r="BP55" i="4" s="1"/>
  <c r="Z55" i="4"/>
  <c r="BQ55" i="4" s="1"/>
  <c r="AA55" i="4"/>
  <c r="BR55" i="4" s="1"/>
  <c r="AB55" i="4"/>
  <c r="BS55" i="4" s="1"/>
  <c r="AC55" i="4"/>
  <c r="BT55" i="4" s="1"/>
  <c r="AD55" i="4"/>
  <c r="BU55" i="4" s="1"/>
  <c r="AE55" i="4"/>
  <c r="BV55" i="4" s="1"/>
  <c r="AF55" i="4"/>
  <c r="BW55" i="4" s="1"/>
  <c r="AG55" i="4"/>
  <c r="BX55" i="4" s="1"/>
  <c r="AH55" i="4"/>
  <c r="BY55" i="4" s="1"/>
  <c r="AI55" i="4"/>
  <c r="BZ55" i="4" s="1"/>
  <c r="AJ55" i="4"/>
  <c r="CA55" i="4" s="1"/>
  <c r="AK55" i="4"/>
  <c r="CB55" i="4" s="1"/>
  <c r="AL55" i="4"/>
  <c r="CC55" i="4" s="1"/>
  <c r="AM55" i="4"/>
  <c r="CD55" i="4" s="1"/>
  <c r="C56" i="4"/>
  <c r="AT56" i="4" s="1"/>
  <c r="D56" i="4"/>
  <c r="AU56" i="4" s="1"/>
  <c r="E56" i="4"/>
  <c r="AV56" i="4" s="1"/>
  <c r="F56" i="4"/>
  <c r="AW56" i="4" s="1"/>
  <c r="G56" i="4"/>
  <c r="AX56" i="4" s="1"/>
  <c r="H56" i="4"/>
  <c r="AY56" i="4" s="1"/>
  <c r="I56" i="4"/>
  <c r="AZ56" i="4" s="1"/>
  <c r="J56" i="4"/>
  <c r="BA56" i="4" s="1"/>
  <c r="K56" i="4"/>
  <c r="BB56" i="4" s="1"/>
  <c r="L56" i="4"/>
  <c r="BC56" i="4" s="1"/>
  <c r="M56" i="4"/>
  <c r="BD56" i="4" s="1"/>
  <c r="N56" i="4"/>
  <c r="BE56" i="4" s="1"/>
  <c r="O56" i="4"/>
  <c r="BF56" i="4" s="1"/>
  <c r="P56" i="4"/>
  <c r="BG56" i="4" s="1"/>
  <c r="Q56" i="4"/>
  <c r="BH56" i="4" s="1"/>
  <c r="R56" i="4"/>
  <c r="BI56" i="4" s="1"/>
  <c r="S56" i="4"/>
  <c r="BJ56" i="4" s="1"/>
  <c r="T56" i="4"/>
  <c r="BK56" i="4" s="1"/>
  <c r="U56" i="4"/>
  <c r="BL56" i="4" s="1"/>
  <c r="V56" i="4"/>
  <c r="BM56" i="4" s="1"/>
  <c r="W56" i="4"/>
  <c r="BN56" i="4" s="1"/>
  <c r="X56" i="4"/>
  <c r="BO56" i="4" s="1"/>
  <c r="Y56" i="4"/>
  <c r="BP56" i="4" s="1"/>
  <c r="Z56" i="4"/>
  <c r="BQ56" i="4" s="1"/>
  <c r="AA56" i="4"/>
  <c r="BR56" i="4" s="1"/>
  <c r="AB56" i="4"/>
  <c r="BS56" i="4" s="1"/>
  <c r="AC56" i="4"/>
  <c r="BT56" i="4" s="1"/>
  <c r="AD56" i="4"/>
  <c r="BU56" i="4" s="1"/>
  <c r="AE56" i="4"/>
  <c r="BV56" i="4" s="1"/>
  <c r="AF56" i="4"/>
  <c r="BW56" i="4" s="1"/>
  <c r="AG56" i="4"/>
  <c r="BX56" i="4" s="1"/>
  <c r="AH56" i="4"/>
  <c r="BY56" i="4" s="1"/>
  <c r="AI56" i="4"/>
  <c r="BZ56" i="4" s="1"/>
  <c r="AJ56" i="4"/>
  <c r="CA56" i="4" s="1"/>
  <c r="AK56" i="4"/>
  <c r="CB56" i="4" s="1"/>
  <c r="AL56" i="4"/>
  <c r="CC56" i="4" s="1"/>
  <c r="AM56" i="4"/>
  <c r="CD56" i="4" s="1"/>
  <c r="C57" i="4"/>
  <c r="AT57" i="4" s="1"/>
  <c r="D57" i="4"/>
  <c r="AU57" i="4" s="1"/>
  <c r="E57" i="4"/>
  <c r="AV57" i="4" s="1"/>
  <c r="F57" i="4"/>
  <c r="AW57" i="4" s="1"/>
  <c r="G57" i="4"/>
  <c r="AX57" i="4" s="1"/>
  <c r="H57" i="4"/>
  <c r="AY57" i="4" s="1"/>
  <c r="I57" i="4"/>
  <c r="AZ57" i="4" s="1"/>
  <c r="J57" i="4"/>
  <c r="BA57" i="4" s="1"/>
  <c r="K57" i="4"/>
  <c r="BB57" i="4" s="1"/>
  <c r="L57" i="4"/>
  <c r="BC57" i="4" s="1"/>
  <c r="M57" i="4"/>
  <c r="BD57" i="4" s="1"/>
  <c r="N57" i="4"/>
  <c r="BE57" i="4" s="1"/>
  <c r="O57" i="4"/>
  <c r="BF57" i="4" s="1"/>
  <c r="P57" i="4"/>
  <c r="BG57" i="4" s="1"/>
  <c r="Q57" i="4"/>
  <c r="BH57" i="4" s="1"/>
  <c r="R57" i="4"/>
  <c r="BI57" i="4" s="1"/>
  <c r="S57" i="4"/>
  <c r="BJ57" i="4" s="1"/>
  <c r="T57" i="4"/>
  <c r="BK57" i="4" s="1"/>
  <c r="U57" i="4"/>
  <c r="BL57" i="4" s="1"/>
  <c r="V57" i="4"/>
  <c r="BM57" i="4" s="1"/>
  <c r="W57" i="4"/>
  <c r="BN57" i="4" s="1"/>
  <c r="X57" i="4"/>
  <c r="BO57" i="4" s="1"/>
  <c r="Y57" i="4"/>
  <c r="BP57" i="4" s="1"/>
  <c r="Z57" i="4"/>
  <c r="BQ57" i="4" s="1"/>
  <c r="AA57" i="4"/>
  <c r="BR57" i="4" s="1"/>
  <c r="AB57" i="4"/>
  <c r="BS57" i="4" s="1"/>
  <c r="AC57" i="4"/>
  <c r="BT57" i="4" s="1"/>
  <c r="AD57" i="4"/>
  <c r="BU57" i="4" s="1"/>
  <c r="AE57" i="4"/>
  <c r="BV57" i="4" s="1"/>
  <c r="AF57" i="4"/>
  <c r="BW57" i="4" s="1"/>
  <c r="AG57" i="4"/>
  <c r="BX57" i="4" s="1"/>
  <c r="AH57" i="4"/>
  <c r="BY57" i="4" s="1"/>
  <c r="AI57" i="4"/>
  <c r="BZ57" i="4" s="1"/>
  <c r="AJ57" i="4"/>
  <c r="CA57" i="4" s="1"/>
  <c r="AK57" i="4"/>
  <c r="CB57" i="4" s="1"/>
  <c r="AL57" i="4"/>
  <c r="CC57" i="4" s="1"/>
  <c r="AM57" i="4"/>
  <c r="CD57" i="4" s="1"/>
  <c r="C58" i="4"/>
  <c r="AT58" i="4" s="1"/>
  <c r="D58" i="4"/>
  <c r="AU58" i="4" s="1"/>
  <c r="E58" i="4"/>
  <c r="AV58" i="4" s="1"/>
  <c r="F58" i="4"/>
  <c r="AW58" i="4" s="1"/>
  <c r="G58" i="4"/>
  <c r="AX58" i="4" s="1"/>
  <c r="H58" i="4"/>
  <c r="AY58" i="4" s="1"/>
  <c r="I58" i="4"/>
  <c r="AZ58" i="4" s="1"/>
  <c r="J58" i="4"/>
  <c r="BA58" i="4" s="1"/>
  <c r="K58" i="4"/>
  <c r="BB58" i="4" s="1"/>
  <c r="L58" i="4"/>
  <c r="BC58" i="4" s="1"/>
  <c r="M58" i="4"/>
  <c r="BD58" i="4" s="1"/>
  <c r="N58" i="4"/>
  <c r="BE58" i="4" s="1"/>
  <c r="O58" i="4"/>
  <c r="BF58" i="4" s="1"/>
  <c r="P58" i="4"/>
  <c r="BG58" i="4" s="1"/>
  <c r="Q58" i="4"/>
  <c r="BH58" i="4" s="1"/>
  <c r="R58" i="4"/>
  <c r="BI58" i="4" s="1"/>
  <c r="S58" i="4"/>
  <c r="BJ58" i="4" s="1"/>
  <c r="T58" i="4"/>
  <c r="BK58" i="4" s="1"/>
  <c r="U58" i="4"/>
  <c r="BL58" i="4" s="1"/>
  <c r="V58" i="4"/>
  <c r="BM58" i="4" s="1"/>
  <c r="W58" i="4"/>
  <c r="BN58" i="4" s="1"/>
  <c r="X58" i="4"/>
  <c r="BO58" i="4" s="1"/>
  <c r="Y58" i="4"/>
  <c r="BP58" i="4" s="1"/>
  <c r="Z58" i="4"/>
  <c r="BQ58" i="4" s="1"/>
  <c r="AA58" i="4"/>
  <c r="BR58" i="4" s="1"/>
  <c r="AB58" i="4"/>
  <c r="BS58" i="4" s="1"/>
  <c r="AC58" i="4"/>
  <c r="BT58" i="4" s="1"/>
  <c r="AD58" i="4"/>
  <c r="BU58" i="4" s="1"/>
  <c r="AE58" i="4"/>
  <c r="BV58" i="4" s="1"/>
  <c r="AF58" i="4"/>
  <c r="BW58" i="4" s="1"/>
  <c r="AG58" i="4"/>
  <c r="BX58" i="4" s="1"/>
  <c r="AH58" i="4"/>
  <c r="BY58" i="4" s="1"/>
  <c r="AI58" i="4"/>
  <c r="BZ58" i="4" s="1"/>
  <c r="AJ58" i="4"/>
  <c r="CA58" i="4" s="1"/>
  <c r="AK58" i="4"/>
  <c r="CB58" i="4" s="1"/>
  <c r="AL58" i="4"/>
  <c r="CC58" i="4" s="1"/>
  <c r="AM58" i="4"/>
  <c r="CD58" i="4" s="1"/>
  <c r="C59" i="4"/>
  <c r="AT59" i="4" s="1"/>
  <c r="D59" i="4"/>
  <c r="AU59" i="4" s="1"/>
  <c r="E59" i="4"/>
  <c r="AV59" i="4" s="1"/>
  <c r="F59" i="4"/>
  <c r="AW59" i="4" s="1"/>
  <c r="G59" i="4"/>
  <c r="AX59" i="4" s="1"/>
  <c r="H59" i="4"/>
  <c r="AY59" i="4" s="1"/>
  <c r="I59" i="4"/>
  <c r="AZ59" i="4" s="1"/>
  <c r="J59" i="4"/>
  <c r="BA59" i="4" s="1"/>
  <c r="K59" i="4"/>
  <c r="BB59" i="4" s="1"/>
  <c r="L59" i="4"/>
  <c r="BC59" i="4" s="1"/>
  <c r="M59" i="4"/>
  <c r="BD59" i="4" s="1"/>
  <c r="N59" i="4"/>
  <c r="BE59" i="4" s="1"/>
  <c r="O59" i="4"/>
  <c r="BF59" i="4" s="1"/>
  <c r="P59" i="4"/>
  <c r="BG59" i="4" s="1"/>
  <c r="Q59" i="4"/>
  <c r="BH59" i="4" s="1"/>
  <c r="R59" i="4"/>
  <c r="BI59" i="4" s="1"/>
  <c r="S59" i="4"/>
  <c r="BJ59" i="4" s="1"/>
  <c r="T59" i="4"/>
  <c r="BK59" i="4" s="1"/>
  <c r="U59" i="4"/>
  <c r="BL59" i="4" s="1"/>
  <c r="V59" i="4"/>
  <c r="BM59" i="4" s="1"/>
  <c r="W59" i="4"/>
  <c r="BN59" i="4" s="1"/>
  <c r="X59" i="4"/>
  <c r="BO59" i="4" s="1"/>
  <c r="Y59" i="4"/>
  <c r="BP59" i="4" s="1"/>
  <c r="Z59" i="4"/>
  <c r="BQ59" i="4" s="1"/>
  <c r="AA59" i="4"/>
  <c r="BR59" i="4" s="1"/>
  <c r="AB59" i="4"/>
  <c r="BS59" i="4" s="1"/>
  <c r="AC59" i="4"/>
  <c r="BT59" i="4" s="1"/>
  <c r="AD59" i="4"/>
  <c r="BU59" i="4" s="1"/>
  <c r="AE59" i="4"/>
  <c r="BV59" i="4" s="1"/>
  <c r="AF59" i="4"/>
  <c r="BW59" i="4" s="1"/>
  <c r="AG59" i="4"/>
  <c r="BX59" i="4" s="1"/>
  <c r="AH59" i="4"/>
  <c r="BY59" i="4" s="1"/>
  <c r="AI59" i="4"/>
  <c r="BZ59" i="4" s="1"/>
  <c r="AJ59" i="4"/>
  <c r="CA59" i="4" s="1"/>
  <c r="AK59" i="4"/>
  <c r="CB59" i="4" s="1"/>
  <c r="AL59" i="4"/>
  <c r="CC59" i="4" s="1"/>
  <c r="AM59" i="4"/>
  <c r="CD59" i="4" s="1"/>
  <c r="C60" i="4"/>
  <c r="AT60" i="4" s="1"/>
  <c r="D60" i="4"/>
  <c r="AU60" i="4" s="1"/>
  <c r="E60" i="4"/>
  <c r="AV60" i="4" s="1"/>
  <c r="F60" i="4"/>
  <c r="AW60" i="4" s="1"/>
  <c r="G60" i="4"/>
  <c r="AX60" i="4" s="1"/>
  <c r="H60" i="4"/>
  <c r="AY60" i="4" s="1"/>
  <c r="I60" i="4"/>
  <c r="AZ60" i="4" s="1"/>
  <c r="J60" i="4"/>
  <c r="BA60" i="4" s="1"/>
  <c r="K60" i="4"/>
  <c r="BB60" i="4" s="1"/>
  <c r="L60" i="4"/>
  <c r="BC60" i="4" s="1"/>
  <c r="M60" i="4"/>
  <c r="BD60" i="4" s="1"/>
  <c r="N60" i="4"/>
  <c r="BE60" i="4" s="1"/>
  <c r="O60" i="4"/>
  <c r="BF60" i="4" s="1"/>
  <c r="P60" i="4"/>
  <c r="BG60" i="4" s="1"/>
  <c r="Q60" i="4"/>
  <c r="BH60" i="4" s="1"/>
  <c r="R60" i="4"/>
  <c r="BI60" i="4" s="1"/>
  <c r="S60" i="4"/>
  <c r="BJ60" i="4" s="1"/>
  <c r="T60" i="4"/>
  <c r="BK60" i="4" s="1"/>
  <c r="U60" i="4"/>
  <c r="BL60" i="4" s="1"/>
  <c r="V60" i="4"/>
  <c r="BM60" i="4" s="1"/>
  <c r="W60" i="4"/>
  <c r="BN60" i="4" s="1"/>
  <c r="X60" i="4"/>
  <c r="BO60" i="4" s="1"/>
  <c r="Y60" i="4"/>
  <c r="BP60" i="4" s="1"/>
  <c r="Z60" i="4"/>
  <c r="BQ60" i="4" s="1"/>
  <c r="AA60" i="4"/>
  <c r="BR60" i="4" s="1"/>
  <c r="AB60" i="4"/>
  <c r="BS60" i="4" s="1"/>
  <c r="AC60" i="4"/>
  <c r="BT60" i="4" s="1"/>
  <c r="AD60" i="4"/>
  <c r="BU60" i="4" s="1"/>
  <c r="AE60" i="4"/>
  <c r="BV60" i="4" s="1"/>
  <c r="AF60" i="4"/>
  <c r="BW60" i="4" s="1"/>
  <c r="AG60" i="4"/>
  <c r="BX60" i="4" s="1"/>
  <c r="AH60" i="4"/>
  <c r="BY60" i="4" s="1"/>
  <c r="AI60" i="4"/>
  <c r="BZ60" i="4" s="1"/>
  <c r="AJ60" i="4"/>
  <c r="CA60" i="4" s="1"/>
  <c r="AK60" i="4"/>
  <c r="CB60" i="4" s="1"/>
  <c r="AL60" i="4"/>
  <c r="CC60" i="4" s="1"/>
  <c r="AM60" i="4"/>
  <c r="CD60" i="4" s="1"/>
  <c r="C61" i="4"/>
  <c r="AT61" i="4" s="1"/>
  <c r="D61" i="4"/>
  <c r="AU61" i="4" s="1"/>
  <c r="E61" i="4"/>
  <c r="AV61" i="4" s="1"/>
  <c r="F61" i="4"/>
  <c r="AW61" i="4" s="1"/>
  <c r="G61" i="4"/>
  <c r="AX61" i="4" s="1"/>
  <c r="H61" i="4"/>
  <c r="AY61" i="4" s="1"/>
  <c r="I61" i="4"/>
  <c r="AZ61" i="4" s="1"/>
  <c r="J61" i="4"/>
  <c r="BA61" i="4" s="1"/>
  <c r="K61" i="4"/>
  <c r="BB61" i="4" s="1"/>
  <c r="L61" i="4"/>
  <c r="BC61" i="4" s="1"/>
  <c r="M61" i="4"/>
  <c r="BD61" i="4" s="1"/>
  <c r="N61" i="4"/>
  <c r="BE61" i="4" s="1"/>
  <c r="O61" i="4"/>
  <c r="BF61" i="4" s="1"/>
  <c r="P61" i="4"/>
  <c r="BG61" i="4" s="1"/>
  <c r="Q61" i="4"/>
  <c r="BH61" i="4" s="1"/>
  <c r="R61" i="4"/>
  <c r="BI61" i="4" s="1"/>
  <c r="S61" i="4"/>
  <c r="BJ61" i="4" s="1"/>
  <c r="T61" i="4"/>
  <c r="BK61" i="4" s="1"/>
  <c r="U61" i="4"/>
  <c r="BL61" i="4" s="1"/>
  <c r="V61" i="4"/>
  <c r="BM61" i="4" s="1"/>
  <c r="W61" i="4"/>
  <c r="BN61" i="4" s="1"/>
  <c r="X61" i="4"/>
  <c r="BO61" i="4" s="1"/>
  <c r="Y61" i="4"/>
  <c r="BP61" i="4" s="1"/>
  <c r="Z61" i="4"/>
  <c r="BQ61" i="4" s="1"/>
  <c r="AA61" i="4"/>
  <c r="BR61" i="4" s="1"/>
  <c r="AB61" i="4"/>
  <c r="BS61" i="4" s="1"/>
  <c r="AC61" i="4"/>
  <c r="BT61" i="4" s="1"/>
  <c r="AD61" i="4"/>
  <c r="BU61" i="4" s="1"/>
  <c r="AE61" i="4"/>
  <c r="BV61" i="4" s="1"/>
  <c r="AF61" i="4"/>
  <c r="BW61" i="4" s="1"/>
  <c r="AG61" i="4"/>
  <c r="BX61" i="4" s="1"/>
  <c r="AH61" i="4"/>
  <c r="BY61" i="4" s="1"/>
  <c r="AI61" i="4"/>
  <c r="BZ61" i="4" s="1"/>
  <c r="AJ61" i="4"/>
  <c r="CA61" i="4" s="1"/>
  <c r="AK61" i="4"/>
  <c r="CB61" i="4" s="1"/>
  <c r="AL61" i="4"/>
  <c r="CC61" i="4" s="1"/>
  <c r="AM61" i="4"/>
  <c r="CD61" i="4" s="1"/>
  <c r="I8" i="3"/>
  <c r="G34" i="3"/>
  <c r="G35" i="3"/>
  <c r="G30" i="3"/>
  <c r="G31" i="3"/>
  <c r="G26" i="3"/>
  <c r="G8" i="3"/>
  <c r="G7" i="3"/>
  <c r="G2" i="3"/>
  <c r="E64" i="2" l="1"/>
  <c r="G33" i="3"/>
  <c r="I3" i="3" s="1"/>
  <c r="I6" i="3"/>
  <c r="N66" i="2"/>
  <c r="N65" i="2"/>
  <c r="N73" i="2"/>
  <c r="D2" i="4"/>
  <c r="AU2" i="4" s="1"/>
  <c r="N72" i="2"/>
  <c r="N68" i="2"/>
  <c r="N67" i="2"/>
  <c r="O65" i="2"/>
  <c r="O72" i="2"/>
  <c r="O67" i="2"/>
  <c r="O73" i="2"/>
  <c r="E2" i="4"/>
  <c r="AV2" i="4" s="1"/>
  <c r="O66" i="2"/>
  <c r="O68" i="2"/>
  <c r="P65" i="2"/>
  <c r="P72" i="2"/>
  <c r="P67" i="2"/>
  <c r="F2" i="4"/>
  <c r="AW2" i="4" s="1"/>
  <c r="P73" i="2"/>
  <c r="P66" i="2"/>
  <c r="P68" i="2"/>
  <c r="Q68" i="2"/>
  <c r="G2" i="4"/>
  <c r="AX2" i="4" s="1"/>
  <c r="Q73" i="2"/>
  <c r="Q67" i="2"/>
  <c r="Q65" i="2"/>
  <c r="Q66" i="2"/>
  <c r="Q72" i="2"/>
  <c r="R72" i="2"/>
  <c r="R66" i="2"/>
  <c r="R65" i="2"/>
  <c r="R67" i="2"/>
  <c r="H2" i="4"/>
  <c r="AY2" i="4" s="1"/>
  <c r="R73" i="2"/>
  <c r="R68" i="2"/>
  <c r="S65" i="2"/>
  <c r="S66" i="2"/>
  <c r="S73" i="2"/>
  <c r="S68" i="2"/>
  <c r="I2" i="4"/>
  <c r="AZ2" i="4" s="1"/>
  <c r="S67" i="2"/>
  <c r="S72" i="2"/>
  <c r="T66" i="2"/>
  <c r="T68" i="2"/>
  <c r="J2" i="4"/>
  <c r="BA2" i="4" s="1"/>
  <c r="T65" i="2"/>
  <c r="T72" i="2"/>
  <c r="T67" i="2"/>
  <c r="T73" i="2"/>
  <c r="U72" i="2"/>
  <c r="U73" i="2"/>
  <c r="U65" i="2"/>
  <c r="K2" i="4"/>
  <c r="BB2" i="4" s="1"/>
  <c r="U67" i="2"/>
  <c r="U68" i="2"/>
  <c r="U66" i="2"/>
  <c r="V68" i="2"/>
  <c r="V73" i="2"/>
  <c r="V65" i="2"/>
  <c r="L2" i="4"/>
  <c r="BC2" i="4" s="1"/>
  <c r="V72" i="2"/>
  <c r="V66" i="2"/>
  <c r="V67" i="2"/>
  <c r="W67" i="2"/>
  <c r="W68" i="2"/>
  <c r="W66" i="2"/>
  <c r="W73" i="2"/>
  <c r="W65" i="2"/>
  <c r="W72" i="2"/>
  <c r="M2" i="4"/>
  <c r="BD2" i="4" s="1"/>
  <c r="N2" i="4"/>
  <c r="BE2" i="4" s="1"/>
  <c r="X67" i="2"/>
  <c r="X66" i="2"/>
  <c r="X65" i="2"/>
  <c r="X72" i="2"/>
  <c r="X73" i="2"/>
  <c r="X68" i="2"/>
  <c r="Y68" i="2"/>
  <c r="O2" i="4"/>
  <c r="BF2" i="4" s="1"/>
  <c r="Y66" i="2"/>
  <c r="Y72" i="2"/>
  <c r="Y73" i="2"/>
  <c r="Y67" i="2"/>
  <c r="Y65" i="2"/>
  <c r="Z73" i="2"/>
  <c r="Z65" i="2"/>
  <c r="P2" i="4"/>
  <c r="BG2" i="4" s="1"/>
  <c r="Z67" i="2"/>
  <c r="Z66" i="2"/>
  <c r="Z72" i="2"/>
  <c r="Z68" i="2"/>
  <c r="AA67" i="2"/>
  <c r="Q2" i="4"/>
  <c r="BH2" i="4" s="1"/>
  <c r="AA72" i="2"/>
  <c r="AA66" i="2"/>
  <c r="AA73" i="2"/>
  <c r="AA68" i="2"/>
  <c r="AA65" i="2"/>
  <c r="AB73" i="2"/>
  <c r="AB65" i="2"/>
  <c r="AB67" i="2"/>
  <c r="AB66" i="2"/>
  <c r="AB72" i="2"/>
  <c r="R2" i="4"/>
  <c r="BI2" i="4" s="1"/>
  <c r="AB68" i="2"/>
  <c r="AC65" i="2"/>
  <c r="AC66" i="2"/>
  <c r="AC68" i="2"/>
  <c r="AC73" i="2"/>
  <c r="AC67" i="2"/>
  <c r="AC72" i="2"/>
  <c r="S2" i="4"/>
  <c r="BJ2" i="4" s="1"/>
  <c r="AD66" i="2"/>
  <c r="AD65" i="2"/>
  <c r="AD73" i="2"/>
  <c r="AD67" i="2"/>
  <c r="AD72" i="2"/>
  <c r="T2" i="4"/>
  <c r="BK2" i="4" s="1"/>
  <c r="AD68" i="2"/>
  <c r="AE73" i="2"/>
  <c r="AE65" i="2"/>
  <c r="AE72" i="2"/>
  <c r="U2" i="4"/>
  <c r="BL2" i="4" s="1"/>
  <c r="AE67" i="2"/>
  <c r="AE68" i="2"/>
  <c r="AE66" i="2"/>
  <c r="AF65" i="2"/>
  <c r="AF73" i="2"/>
  <c r="AF72" i="2"/>
  <c r="AF67" i="2"/>
  <c r="V2" i="4"/>
  <c r="BM2" i="4" s="1"/>
  <c r="AF66" i="2"/>
  <c r="AF68" i="2"/>
  <c r="AG66" i="2"/>
  <c r="AG72" i="2"/>
  <c r="AG73" i="2"/>
  <c r="AG68" i="2"/>
  <c r="AG67" i="2"/>
  <c r="W2" i="4"/>
  <c r="BN2" i="4" s="1"/>
  <c r="AG65" i="2"/>
  <c r="X2" i="4"/>
  <c r="BO2" i="4" s="1"/>
  <c r="AH66" i="2"/>
  <c r="AH72" i="2"/>
  <c r="AH73" i="2"/>
  <c r="AH67" i="2"/>
  <c r="AH68" i="2"/>
  <c r="AH65" i="2"/>
  <c r="AI67" i="2"/>
  <c r="AI68" i="2"/>
  <c r="AI66" i="2"/>
  <c r="AI72" i="2"/>
  <c r="AI65" i="2"/>
  <c r="Y2" i="4"/>
  <c r="BP2" i="4" s="1"/>
  <c r="AI73" i="2"/>
  <c r="AJ65" i="2"/>
  <c r="AJ72" i="2"/>
  <c r="Z2" i="4"/>
  <c r="BQ2" i="4" s="1"/>
  <c r="AJ68" i="2"/>
  <c r="AJ73" i="2"/>
  <c r="AJ67" i="2"/>
  <c r="AJ66" i="2"/>
  <c r="AK73" i="2"/>
  <c r="AK72" i="2"/>
  <c r="AK66" i="2"/>
  <c r="AK68" i="2"/>
  <c r="AK67" i="2"/>
  <c r="AK65" i="2"/>
  <c r="AA2" i="4"/>
  <c r="BR2" i="4" s="1"/>
  <c r="AL67" i="2"/>
  <c r="AL68" i="2"/>
  <c r="AL73" i="2"/>
  <c r="AL72" i="2"/>
  <c r="AL65" i="2"/>
  <c r="AL66" i="2"/>
  <c r="AB2" i="4"/>
  <c r="BS2" i="4" s="1"/>
  <c r="AM65" i="2"/>
  <c r="AM72" i="2"/>
  <c r="AC2" i="4"/>
  <c r="BT2" i="4" s="1"/>
  <c r="AM68" i="2"/>
  <c r="AM67" i="2"/>
  <c r="AM66" i="2"/>
  <c r="AM73" i="2"/>
  <c r="AN72" i="2"/>
  <c r="AN67" i="2"/>
  <c r="AN65" i="2"/>
  <c r="AN68" i="2"/>
  <c r="AD2" i="4"/>
  <c r="BU2" i="4" s="1"/>
  <c r="AN66" i="2"/>
  <c r="AN73" i="2"/>
  <c r="AE2" i="4"/>
  <c r="BV2" i="4" s="1"/>
  <c r="AO66" i="2"/>
  <c r="AO65" i="2"/>
  <c r="AO68" i="2"/>
  <c r="AO72" i="2"/>
  <c r="AO73" i="2"/>
  <c r="AO67" i="2"/>
  <c r="AP73" i="2"/>
  <c r="AP72" i="2"/>
  <c r="AP68" i="2"/>
  <c r="AF2" i="4"/>
  <c r="BW2" i="4" s="1"/>
  <c r="AP65" i="2"/>
  <c r="AP66" i="2"/>
  <c r="AP67" i="2"/>
  <c r="AQ72" i="2"/>
  <c r="AQ68" i="2"/>
  <c r="AG2" i="4"/>
  <c r="BX2" i="4" s="1"/>
  <c r="AQ65" i="2"/>
  <c r="AQ73" i="2"/>
  <c r="AQ67" i="2"/>
  <c r="AQ66" i="2"/>
  <c r="AH2" i="4"/>
  <c r="BY2" i="4" s="1"/>
  <c r="AR67" i="2"/>
  <c r="AR65" i="2"/>
  <c r="AR73" i="2"/>
  <c r="AR68" i="2"/>
  <c r="AR72" i="2"/>
  <c r="AR66" i="2"/>
  <c r="AS72" i="2"/>
  <c r="AS68" i="2"/>
  <c r="AI2" i="4"/>
  <c r="BZ2" i="4" s="1"/>
  <c r="AS65" i="2"/>
  <c r="AS67" i="2"/>
  <c r="AS66" i="2"/>
  <c r="AS73" i="2"/>
  <c r="AJ2" i="4"/>
  <c r="CA2" i="4" s="1"/>
  <c r="AT65" i="2"/>
  <c r="AT66" i="2"/>
  <c r="AT68" i="2"/>
  <c r="AT72" i="2"/>
  <c r="AT67" i="2"/>
  <c r="AT73" i="2"/>
  <c r="AK2" i="4"/>
  <c r="CB2" i="4" s="1"/>
  <c r="AU67" i="2"/>
  <c r="AU66" i="2"/>
  <c r="AU72" i="2"/>
  <c r="AU73" i="2"/>
  <c r="AU65" i="2"/>
  <c r="AU68" i="2"/>
  <c r="AV66" i="2"/>
  <c r="AL2" i="4"/>
  <c r="CC2" i="4" s="1"/>
  <c r="AV65" i="2"/>
  <c r="AV73" i="2"/>
  <c r="AV72" i="2"/>
  <c r="AV67" i="2"/>
  <c r="AV68" i="2"/>
  <c r="C2" i="4"/>
  <c r="AT2" i="4" s="1"/>
  <c r="M72" i="2"/>
  <c r="M73" i="2"/>
  <c r="M65" i="2"/>
  <c r="M67" i="2"/>
  <c r="M66" i="2"/>
  <c r="M68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L72" i="2"/>
  <c r="L67" i="2"/>
  <c r="L73" i="2"/>
  <c r="L68" i="2"/>
  <c r="L66" i="2"/>
  <c r="L65" i="2"/>
  <c r="AW73" i="2"/>
  <c r="AW66" i="2"/>
  <c r="AW68" i="2"/>
  <c r="AM2" i="4"/>
  <c r="CD2" i="4" s="1"/>
  <c r="AW72" i="2"/>
  <c r="AW65" i="2"/>
  <c r="AW67" i="2"/>
  <c r="AQ2" i="4" l="1"/>
  <c r="AP3" i="4"/>
  <c r="AS3" i="4"/>
  <c r="AP4" i="4"/>
  <c r="AS4" i="4"/>
  <c r="AP5" i="4"/>
  <c r="AS5" i="4"/>
  <c r="AP6" i="4"/>
  <c r="AS6" i="4"/>
  <c r="AP7" i="4"/>
  <c r="AS7" i="4"/>
  <c r="AP8" i="4"/>
  <c r="AS8" i="4"/>
  <c r="AP9" i="4"/>
  <c r="AS9" i="4"/>
  <c r="AP10" i="4"/>
  <c r="AS10" i="4"/>
  <c r="AP11" i="4"/>
  <c r="AS11" i="4"/>
  <c r="AP12" i="4"/>
  <c r="AS12" i="4"/>
  <c r="AP13" i="4"/>
  <c r="AS13" i="4"/>
  <c r="AP14" i="4"/>
  <c r="AS14" i="4"/>
  <c r="AP15" i="4"/>
  <c r="AS15" i="4"/>
  <c r="AP16" i="4"/>
  <c r="AS16" i="4"/>
  <c r="AP17" i="4"/>
  <c r="AS17" i="4"/>
  <c r="AP18" i="4"/>
  <c r="AS18" i="4"/>
  <c r="AP19" i="4"/>
  <c r="AS19" i="4"/>
  <c r="AP20" i="4"/>
  <c r="AS20" i="4"/>
  <c r="AP21" i="4"/>
  <c r="AS21" i="4"/>
  <c r="AP22" i="4"/>
  <c r="AS22" i="4"/>
  <c r="AP23" i="4"/>
  <c r="AS23" i="4"/>
  <c r="AP24" i="4"/>
  <c r="AS24" i="4"/>
  <c r="AP25" i="4"/>
  <c r="AS25" i="4"/>
  <c r="AP26" i="4"/>
  <c r="AS26" i="4"/>
  <c r="AP27" i="4"/>
  <c r="AS27" i="4"/>
  <c r="AP28" i="4"/>
  <c r="AS28" i="4"/>
  <c r="AP29" i="4"/>
  <c r="AS29" i="4"/>
  <c r="AP30" i="4"/>
  <c r="AS30" i="4"/>
  <c r="AP31" i="4"/>
  <c r="AS31" i="4"/>
  <c r="AP32" i="4"/>
  <c r="AS32" i="4"/>
  <c r="AP33" i="4"/>
  <c r="AS33" i="4"/>
  <c r="AP34" i="4"/>
  <c r="AS34" i="4"/>
  <c r="AP35" i="4"/>
  <c r="AS35" i="4"/>
  <c r="AP36" i="4"/>
  <c r="AS36" i="4"/>
  <c r="AP37" i="4"/>
  <c r="AS37" i="4"/>
  <c r="AP38" i="4"/>
  <c r="AS38" i="4"/>
  <c r="AP39" i="4"/>
  <c r="AS39" i="4"/>
  <c r="AP40" i="4"/>
  <c r="AS40" i="4"/>
  <c r="AQ40" i="4" s="1"/>
  <c r="AP41" i="4"/>
  <c r="AS41" i="4"/>
  <c r="AQ41" i="4" s="1"/>
  <c r="AP42" i="4"/>
  <c r="AS42" i="4"/>
  <c r="AQ42" i="4" s="1"/>
  <c r="AP43" i="4"/>
  <c r="AS43" i="4"/>
  <c r="AQ43" i="4" s="1"/>
  <c r="AP44" i="4"/>
  <c r="AS44" i="4"/>
  <c r="AQ44" i="4" s="1"/>
  <c r="AP45" i="4"/>
  <c r="AS45" i="4"/>
  <c r="AQ45" i="4" s="1"/>
  <c r="AP46" i="4"/>
  <c r="AS46" i="4"/>
  <c r="AQ46" i="4" s="1"/>
  <c r="AP47" i="4"/>
  <c r="AS47" i="4"/>
  <c r="AQ47" i="4" s="1"/>
  <c r="AP48" i="4"/>
  <c r="AS48" i="4"/>
  <c r="AQ48" i="4" s="1"/>
  <c r="AP49" i="4"/>
  <c r="AS49" i="4"/>
  <c r="AQ49" i="4" s="1"/>
  <c r="AP50" i="4"/>
  <c r="AS50" i="4"/>
  <c r="AQ50" i="4" s="1"/>
  <c r="AP51" i="4"/>
  <c r="AS51" i="4"/>
  <c r="AQ51" i="4" s="1"/>
  <c r="AP52" i="4"/>
  <c r="AS52" i="4"/>
  <c r="AQ52" i="4" s="1"/>
  <c r="AP53" i="4"/>
  <c r="AS53" i="4"/>
  <c r="AQ53" i="4" s="1"/>
  <c r="AP54" i="4"/>
  <c r="AS54" i="4"/>
  <c r="AQ54" i="4" s="1"/>
  <c r="AP55" i="4"/>
  <c r="AS55" i="4"/>
  <c r="AQ55" i="4" s="1"/>
  <c r="AP56" i="4"/>
  <c r="AS56" i="4"/>
  <c r="AQ56" i="4" s="1"/>
  <c r="AP57" i="4"/>
  <c r="AS57" i="4"/>
  <c r="AQ57" i="4" s="1"/>
  <c r="AP58" i="4"/>
  <c r="AS58" i="4"/>
  <c r="AQ58" i="4" s="1"/>
  <c r="AP59" i="4"/>
  <c r="AS59" i="4"/>
  <c r="AQ59" i="4" s="1"/>
  <c r="AP60" i="4"/>
  <c r="AS60" i="4"/>
  <c r="AQ60" i="4" s="1"/>
  <c r="AP61" i="4"/>
  <c r="AS61" i="4"/>
  <c r="AQ61" i="4" s="1"/>
  <c r="L75" i="2"/>
  <c r="AP2" i="4"/>
  <c r="AP63" i="4" s="1"/>
  <c r="L74" i="2"/>
  <c r="M74" i="2" s="1"/>
  <c r="AQ3" i="4" l="1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63" i="4" l="1"/>
</calcChain>
</file>

<file path=xl/sharedStrings.xml><?xml version="1.0" encoding="utf-8"?>
<sst xmlns="http://schemas.openxmlformats.org/spreadsheetml/2006/main" count="308" uniqueCount="138">
  <si>
    <t>Participant</t>
  </si>
  <si>
    <t>Total Fixations</t>
  </si>
  <si>
    <t>Total Fixation Duration (s)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</si>
  <si>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</si>
  <si>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</si>
  <si>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</si>
  <si>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</si>
  <si>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</si>
  <si>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</si>
  <si>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</si>
  <si>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</si>
  <si>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</si>
  <si>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</si>
  <si>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Image 11</t>
  </si>
  <si>
    <t>Image 12</t>
  </si>
  <si>
    <t>Image 13</t>
  </si>
  <si>
    <t>Image 14</t>
  </si>
  <si>
    <t>Image 15</t>
  </si>
  <si>
    <t>Image 16</t>
  </si>
  <si>
    <t>Image 17</t>
  </si>
  <si>
    <t>Image 18</t>
  </si>
  <si>
    <t>Image 19</t>
  </si>
  <si>
    <t>Image 20</t>
  </si>
  <si>
    <t>Image 21</t>
  </si>
  <si>
    <t>Image 22</t>
  </si>
  <si>
    <t>Image 23</t>
  </si>
  <si>
    <t>Image 24</t>
  </si>
  <si>
    <t>Image 25</t>
  </si>
  <si>
    <t>Image 26</t>
  </si>
  <si>
    <t>Image 27</t>
  </si>
  <si>
    <t>Image 28</t>
  </si>
  <si>
    <t>Image 29</t>
  </si>
  <si>
    <t>Image 30</t>
  </si>
  <si>
    <t>Image 31</t>
  </si>
  <si>
    <t>Image 32</t>
  </si>
  <si>
    <t>Image 33</t>
  </si>
  <si>
    <t>Image 34</t>
  </si>
  <si>
    <t>Image 35</t>
  </si>
  <si>
    <t>Image 36</t>
  </si>
  <si>
    <t>Image 37</t>
  </si>
  <si>
    <t>Image 38</t>
  </si>
  <si>
    <t>Image 39</t>
  </si>
  <si>
    <t>Image 40</t>
  </si>
  <si>
    <t>Image 41</t>
  </si>
  <si>
    <t>Image 42</t>
  </si>
  <si>
    <t>Image 43</t>
  </si>
  <si>
    <t>Image 44</t>
  </si>
  <si>
    <t>Image 45</t>
  </si>
  <si>
    <t>Image 46</t>
  </si>
  <si>
    <t>Image 47</t>
  </si>
  <si>
    <t>Image 48</t>
  </si>
  <si>
    <t>Image 49</t>
  </si>
  <si>
    <t>Image 50</t>
  </si>
  <si>
    <t>Image 51</t>
  </si>
  <si>
    <t>Image 52</t>
  </si>
  <si>
    <t>Image 53</t>
  </si>
  <si>
    <t>Image 54</t>
  </si>
  <si>
    <t>Image 55</t>
  </si>
  <si>
    <t>Image 56</t>
  </si>
  <si>
    <t>Image 57</t>
  </si>
  <si>
    <t>Image 58</t>
  </si>
  <si>
    <t>Image 59</t>
  </si>
  <si>
    <t>Image 60</t>
  </si>
  <si>
    <t>U1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</si>
  <si>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</si>
  <si>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</si>
  <si>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</si>
  <si>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</si>
  <si>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</si>
  <si>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</si>
  <si>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</si>
  <si>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</si>
  <si>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</si>
  <si>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</si>
  <si>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</si>
  <si>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</si>
  <si>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</si>
  <si>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</si>
  <si>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</si>
  <si>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</si>
  <si>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</si>
  <si>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</si>
  <si>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</si>
  <si>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</si>
  <si>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</si>
  <si>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</si>
  <si>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</si>
  <si>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</si>
  <si>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</si>
  <si>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</si>
  <si>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</si>
  <si>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</si>
  <si>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</si>
  <si>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</si>
  <si>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</si>
  <si>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U4</t>
  </si>
  <si>
    <t>U5</t>
  </si>
  <si>
    <t>U6</t>
  </si>
  <si>
    <t>U7</t>
  </si>
  <si>
    <t>U8</t>
  </si>
  <si>
    <t>U9</t>
  </si>
  <si>
    <t>Metric</t>
  </si>
  <si>
    <t>Value</t>
  </si>
  <si>
    <t>Participants</t>
  </si>
  <si>
    <t>Average Fixations</t>
  </si>
  <si>
    <t>Average Fixation Duration (s)</t>
  </si>
  <si>
    <t>Fewest Fixations</t>
  </si>
  <si>
    <t>Most Fixations</t>
  </si>
  <si>
    <t>Longest Total Fixation Duration</t>
  </si>
  <si>
    <t>Total</t>
  </si>
  <si>
    <t>Minimo</t>
  </si>
  <si>
    <t>Promedio</t>
  </si>
  <si>
    <t>Maximo</t>
  </si>
  <si>
    <t>Mediana</t>
  </si>
  <si>
    <t>Imagen</t>
  </si>
  <si>
    <t>max</t>
  </si>
  <si>
    <t>min</t>
  </si>
  <si>
    <t>median</t>
  </si>
  <si>
    <t>average</t>
  </si>
  <si>
    <t>&gt;20</t>
  </si>
  <si>
    <t>prom</t>
  </si>
  <si>
    <t>prom.all</t>
  </si>
  <si>
    <t>Mediciones eliminadas</t>
  </si>
  <si>
    <t>Imagenes vistas con mas de X fijaciones</t>
  </si>
  <si>
    <t>Mean fixations per image</t>
  </si>
  <si>
    <t>Images with &gt; 20 fixations</t>
  </si>
  <si>
    <t>Usable percent</t>
  </si>
  <si>
    <t>Mean Fixation Duration (ms)</t>
  </si>
  <si>
    <t>Utilización de datos</t>
  </si>
  <si>
    <t>de</t>
  </si>
  <si>
    <t>Datos</t>
  </si>
  <si>
    <t>Mean Fixations QC</t>
  </si>
  <si>
    <t>Total Participantes</t>
  </si>
  <si>
    <t>Total Muestras</t>
  </si>
  <si>
    <t>U11 (279)</t>
  </si>
  <si>
    <t>U17 (3196)</t>
  </si>
  <si>
    <t>U35 (516.83 s)</t>
  </si>
  <si>
    <t>Total Fixations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</si>
</sst>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164" fontId="0" fillId="0" borderId="0" xfId="0" applyNumberFormat="1"/>
    <xf numFmtId="0" fontId="4" fillId="2" borderId="3" xfId="0" applyFont="1" applyFill="1" applyBorder="1"/>
    <xf numFmtId="0" fontId="0" fillId="5" borderId="5" xfId="0" applyFill="1" applyBorder="1"/>
    <xf numFmtId="9" fontId="5" fillId="5" borderId="6" xfId="1" applyFont="1" applyFill="1" applyBorder="1"/>
    <xf numFmtId="0" fontId="0" fillId="5" borderId="7" xfId="0" applyFill="1" applyBorder="1"/>
    <xf numFmtId="0" fontId="0" fillId="5" borderId="6" xfId="0" applyFill="1" applyBorder="1"/>
    <xf numFmtId="0" fontId="5" fillId="5" borderId="7" xfId="0" applyFont="1" applyFill="1" applyBorder="1"/>
    <xf numFmtId="0" fontId="5" fillId="5" borderId="9" xfId="0" applyFont="1" applyFill="1" applyBorder="1"/>
    <xf numFmtId="0" fontId="5" fillId="5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9" fontId="5" fillId="5" borderId="4" xfId="0" applyNumberFormat="1" applyFont="1" applyFill="1" applyBorder="1" applyAlignment="1">
      <alignment horizontal="left"/>
    </xf>
    <xf numFmtId="0" fontId="2" fillId="2" borderId="12" xfId="0" applyFont="1" applyFill="1" applyBorder="1"/>
    <xf numFmtId="0" fontId="4" fillId="2" borderId="12" xfId="0" applyFont="1" applyFill="1" applyBorder="1"/>
    <xf numFmtId="0" fontId="0" fillId="3" borderId="11" xfId="1" applyNumberFormat="1" applyFont="1" applyFill="1" applyBorder="1"/>
    <xf numFmtId="164" fontId="0" fillId="3" borderId="11" xfId="1" applyNumberFormat="1" applyFont="1" applyFill="1" applyBorder="1"/>
    <xf numFmtId="0" fontId="0" fillId="4" borderId="10" xfId="0" applyFill="1" applyBorder="1"/>
    <xf numFmtId="0" fontId="0" fillId="3" borderId="13" xfId="0" applyFill="1" applyBorder="1"/>
    <xf numFmtId="0" fontId="0" fillId="3" borderId="11" xfId="0" applyFill="1" applyBorder="1"/>
    <xf numFmtId="0" fontId="0" fillId="4" borderId="2" xfId="0" applyFill="1" applyBorder="1"/>
    <xf numFmtId="2" fontId="0" fillId="4" borderId="10" xfId="0" applyNumberFormat="1" applyFill="1" applyBorder="1"/>
    <xf numFmtId="0" fontId="0" fillId="3" borderId="2" xfId="0" applyFill="1" applyBorder="1"/>
    <xf numFmtId="0" fontId="0" fillId="3" borderId="10" xfId="0" applyFill="1" applyBorder="1"/>
    <xf numFmtId="2" fontId="0" fillId="3" borderId="10" xfId="0" applyNumberFormat="1" applyFill="1" applyBorder="1"/>
    <xf numFmtId="0" fontId="0" fillId="4" borderId="1" xfId="0" applyFill="1" applyBorder="1"/>
    <xf numFmtId="0" fontId="2" fillId="2" borderId="0" xfId="0" applyFont="1" applyFill="1"/>
    <xf numFmtId="0" fontId="4" fillId="2" borderId="0" xfId="0" applyFont="1" applyFill="1"/>
    <xf numFmtId="164" fontId="0" fillId="3" borderId="11" xfId="0" applyNumberFormat="1" applyFill="1" applyBorder="1"/>
    <xf numFmtId="9" fontId="0" fillId="3" borderId="11" xfId="1" applyFont="1" applyFill="1" applyBorder="1"/>
    <xf numFmtId="9" fontId="0" fillId="4" borderId="10" xfId="1" applyFont="1" applyFill="1" applyBorder="1"/>
    <xf numFmtId="9" fontId="0" fillId="3" borderId="10" xfId="1" applyFont="1" applyFill="1" applyBorder="1"/>
    <xf numFmtId="1" fontId="0" fillId="3" borderId="11" xfId="0" applyNumberFormat="1" applyFill="1" applyBorder="1"/>
    <xf numFmtId="1" fontId="0" fillId="0" borderId="0" xfId="0" applyNumberFormat="1"/>
    <xf numFmtId="0" fontId="0" fillId="4" borderId="13" xfId="0" applyFill="1" applyBorder="1"/>
    <xf numFmtId="0" fontId="7" fillId="0" borderId="0" xfId="0" applyFont="1"/>
  </cellXfs>
  <cellStyles count="2">
    <cellStyle name="Normal" xfId="0" builtinId="0"/>
    <cellStyle name="Porcentaje" xfId="1" builtinId="5"/>
  </cellStyles>
  <dxfs count="5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Fijaciones totales por usuario (post QC)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QA!$E$1</c:f>
              <c:strCache>
                <c:ptCount val="1"/>
                <c:pt idx="0">
                  <c:v>Total Fixations QC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QA!$A$2:$A$39</c:f>
              <c:strCache>
                <c:ptCount val="38"/>
                <c:pt idx="0">
                  <c:v>U17</c:v>
                </c:pt>
                <c:pt idx="1">
                  <c:v>U1</c:v>
                </c:pt>
                <c:pt idx="2">
                  <c:v>U33</c:v>
                </c:pt>
                <c:pt idx="3">
                  <c:v>U22</c:v>
                </c:pt>
                <c:pt idx="4">
                  <c:v>U24</c:v>
                </c:pt>
                <c:pt idx="5">
                  <c:v>U15</c:v>
                </c:pt>
                <c:pt idx="6">
                  <c:v>U12</c:v>
                </c:pt>
                <c:pt idx="7">
                  <c:v>U4</c:v>
                </c:pt>
                <c:pt idx="8">
                  <c:v>U3</c:v>
                </c:pt>
                <c:pt idx="9">
                  <c:v>U6</c:v>
                </c:pt>
                <c:pt idx="10">
                  <c:v>U21</c:v>
                </c:pt>
                <c:pt idx="11">
                  <c:v>U35</c:v>
                </c:pt>
                <c:pt idx="12">
                  <c:v>U31</c:v>
                </c:pt>
                <c:pt idx="13">
                  <c:v>U36</c:v>
                </c:pt>
                <c:pt idx="14">
                  <c:v>U26</c:v>
                </c:pt>
                <c:pt idx="15">
                  <c:v>U2</c:v>
                </c:pt>
                <c:pt idx="16">
                  <c:v>U5</c:v>
                </c:pt>
                <c:pt idx="17">
                  <c:v>U30</c:v>
                </c:pt>
                <c:pt idx="18">
                  <c:v>U9</c:v>
                </c:pt>
                <c:pt idx="19">
                  <c:v>U32</c:v>
                </c:pt>
                <c:pt idx="20">
                  <c:v>U37</c:v>
                </c:pt>
                <c:pt idx="21">
                  <c:v>U34</c:v>
                </c:pt>
                <c:pt idx="22">
                  <c:v>U8</c:v>
                </c:pt>
                <c:pt idx="23">
                  <c:v>U28</c:v>
                </c:pt>
                <c:pt idx="24">
                  <c:v>U18</c:v>
                </c:pt>
                <c:pt idx="25">
                  <c:v>U29</c:v>
                </c:pt>
                <c:pt idx="26">
                  <c:v>U27</c:v>
                </c:pt>
                <c:pt idx="27">
                  <c:v>U20</c:v>
                </c:pt>
                <c:pt idx="28">
                  <c:v>U14</c:v>
                </c:pt>
                <c:pt idx="29">
                  <c:v>U19</c:v>
                </c:pt>
                <c:pt idx="30">
                  <c:v>U7</c:v>
                </c:pt>
                <c:pt idx="31">
                  <c:v>U10</c:v>
                </c:pt>
                <c:pt idx="32">
                  <c:v>U16</c:v>
                </c:pt>
                <c:pt idx="33">
                  <c:v>U13</c:v>
                </c:pt>
                <c:pt idx="34">
                  <c:v>U38</c:v>
                </c:pt>
                <c:pt idx="35">
                  <c:v>U25</c:v>
                </c:pt>
                <c:pt idx="36">
                  <c:v>U23</c:v>
                </c:pt>
                <c:pt idx="37">
                  <c:v>U11</c:v>
                </c:pt>
              </c:strCache>
            </c:strRef>
          </c:cat>
          <c:val>
            <c:numRef>
              <c:f>QA!$E$2:$E$39</c:f>
              <c:numCache>
                <c:formatCode>0</c:formatCode>
                <c:ptCount val="38"/>
                <c:pt idx="0">
                  <c:v>3196</c:v>
                </c:pt>
                <c:pt idx="1">
                  <c:v>3145</c:v>
                </c:pt>
                <c:pt idx="2">
                  <c:v>3040</c:v>
                </c:pt>
                <c:pt idx="3">
                  <c:v>3028</c:v>
                </c:pt>
                <c:pt idx="4">
                  <c:v>2992</c:v>
                </c:pt>
                <c:pt idx="5">
                  <c:v>2961</c:v>
                </c:pt>
                <c:pt idx="6">
                  <c:v>2954</c:v>
                </c:pt>
                <c:pt idx="7">
                  <c:v>2938</c:v>
                </c:pt>
                <c:pt idx="8">
                  <c:v>2920</c:v>
                </c:pt>
                <c:pt idx="9">
                  <c:v>2916</c:v>
                </c:pt>
                <c:pt idx="10">
                  <c:v>2915</c:v>
                </c:pt>
                <c:pt idx="11">
                  <c:v>2907</c:v>
                </c:pt>
                <c:pt idx="12">
                  <c:v>2853</c:v>
                </c:pt>
                <c:pt idx="13">
                  <c:v>2844</c:v>
                </c:pt>
                <c:pt idx="14">
                  <c:v>2826</c:v>
                </c:pt>
                <c:pt idx="15">
                  <c:v>2772</c:v>
                </c:pt>
                <c:pt idx="16">
                  <c:v>2769</c:v>
                </c:pt>
                <c:pt idx="17">
                  <c:v>2759</c:v>
                </c:pt>
                <c:pt idx="18">
                  <c:v>2752</c:v>
                </c:pt>
                <c:pt idx="19">
                  <c:v>2734</c:v>
                </c:pt>
                <c:pt idx="20">
                  <c:v>2719</c:v>
                </c:pt>
                <c:pt idx="21">
                  <c:v>2678</c:v>
                </c:pt>
                <c:pt idx="22">
                  <c:v>2667</c:v>
                </c:pt>
                <c:pt idx="23">
                  <c:v>2665</c:v>
                </c:pt>
                <c:pt idx="24">
                  <c:v>2653</c:v>
                </c:pt>
                <c:pt idx="25">
                  <c:v>2563</c:v>
                </c:pt>
                <c:pt idx="26">
                  <c:v>2553</c:v>
                </c:pt>
                <c:pt idx="27">
                  <c:v>2531</c:v>
                </c:pt>
                <c:pt idx="28">
                  <c:v>2467</c:v>
                </c:pt>
                <c:pt idx="29">
                  <c:v>2460</c:v>
                </c:pt>
                <c:pt idx="30">
                  <c:v>2389</c:v>
                </c:pt>
                <c:pt idx="31">
                  <c:v>2077</c:v>
                </c:pt>
                <c:pt idx="32">
                  <c:v>1468</c:v>
                </c:pt>
                <c:pt idx="33">
                  <c:v>1433</c:v>
                </c:pt>
                <c:pt idx="34">
                  <c:v>1355</c:v>
                </c:pt>
                <c:pt idx="35">
                  <c:v>881</c:v>
                </c:pt>
                <c:pt idx="36">
                  <c:v>793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8-456E-80FC-202CC782A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362399"/>
        <c:axId val="82362879"/>
        <c:axId val="0"/>
      </c:bar3DChart>
      <c:catAx>
        <c:axId val="823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362879"/>
        <c:crosses val="autoZero"/>
        <c:auto val="1"/>
        <c:lblAlgn val="ctr"/>
        <c:lblOffset val="100"/>
        <c:noMultiLvlLbl val="0"/>
      </c:catAx>
      <c:valAx>
        <c:axId val="823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36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Fijaciones totales por Imágen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Usable!$AO$2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</c:f>
              <c:numCache>
                <c:formatCode>General</c:formatCode>
                <c:ptCount val="1"/>
                <c:pt idx="0">
                  <c:v>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4-4773-9D81-B1E10C8602B3}"/>
            </c:ext>
          </c:extLst>
        </c:ser>
        <c:ser>
          <c:idx val="1"/>
          <c:order val="1"/>
          <c:tx>
            <c:strRef>
              <c:f>Usable!$AO$3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</c:f>
              <c:numCache>
                <c:formatCode>General</c:formatCode>
                <c:ptCount val="1"/>
                <c:pt idx="0">
                  <c:v>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4-4773-9D81-B1E10C8602B3}"/>
            </c:ext>
          </c:extLst>
        </c:ser>
        <c:ser>
          <c:idx val="2"/>
          <c:order val="2"/>
          <c:tx>
            <c:strRef>
              <c:f>Usable!$AO$4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</c:f>
              <c:numCache>
                <c:formatCode>General</c:formatCode>
                <c:ptCount val="1"/>
                <c:pt idx="0">
                  <c:v>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4-4773-9D81-B1E10C8602B3}"/>
            </c:ext>
          </c:extLst>
        </c:ser>
        <c:ser>
          <c:idx val="3"/>
          <c:order val="3"/>
          <c:tx>
            <c:strRef>
              <c:f>Usable!$AO$5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</c:f>
              <c:numCache>
                <c:formatCode>General</c:formatCode>
                <c:ptCount val="1"/>
                <c:pt idx="0">
                  <c:v>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4-4773-9D81-B1E10C8602B3}"/>
            </c:ext>
          </c:extLst>
        </c:ser>
        <c:ser>
          <c:idx val="4"/>
          <c:order val="4"/>
          <c:tx>
            <c:strRef>
              <c:f>Usable!$AO$6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Usable!$AQ$6</c:f>
              <c:numCache>
                <c:formatCode>General</c:formatCode>
                <c:ptCount val="1"/>
                <c:pt idx="0">
                  <c:v>1603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4-4773-9D81-B1E10C8602B3}"/>
            </c:ext>
          </c:extLst>
        </c:ser>
        <c:ser>
          <c:idx val="5"/>
          <c:order val="5"/>
          <c:tx>
            <c:strRef>
              <c:f>Usable!$AO$7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Usable!$AQ$7</c:f>
              <c:numCache>
                <c:formatCode>General</c:formatCode>
                <c:ptCount val="1"/>
                <c:pt idx="0">
                  <c:v>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34-4773-9D81-B1E10C8602B3}"/>
            </c:ext>
          </c:extLst>
        </c:ser>
        <c:ser>
          <c:idx val="6"/>
          <c:order val="6"/>
          <c:tx>
            <c:strRef>
              <c:f>Usable!$AO$8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Usable!$AQ$8</c:f>
              <c:numCache>
                <c:formatCode>General</c:formatCode>
                <c:ptCount val="1"/>
                <c:pt idx="0">
                  <c:v>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34-4773-9D81-B1E10C8602B3}"/>
            </c:ext>
          </c:extLst>
        </c:ser>
        <c:ser>
          <c:idx val="7"/>
          <c:order val="7"/>
          <c:tx>
            <c:strRef>
              <c:f>Usable!$AO$9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Usable!$AQ$9</c:f>
              <c:numCache>
                <c:formatCode>General</c:formatCode>
                <c:ptCount val="1"/>
                <c:pt idx="0">
                  <c:v>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34-4773-9D81-B1E10C8602B3}"/>
            </c:ext>
          </c:extLst>
        </c:ser>
        <c:ser>
          <c:idx val="8"/>
          <c:order val="8"/>
          <c:tx>
            <c:strRef>
              <c:f>Usable!$AO$10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Usable!$AQ$10</c:f>
              <c:numCache>
                <c:formatCode>General</c:formatCode>
                <c:ptCount val="1"/>
                <c:pt idx="0">
                  <c:v>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34-4773-9D81-B1E10C8602B3}"/>
            </c:ext>
          </c:extLst>
        </c:ser>
        <c:ser>
          <c:idx val="9"/>
          <c:order val="9"/>
          <c:tx>
            <c:strRef>
              <c:f>Usable!$AO$11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Usable!$AQ$11</c:f>
              <c:numCache>
                <c:formatCode>General</c:formatCode>
                <c:ptCount val="1"/>
                <c:pt idx="0">
                  <c:v>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34-4773-9D81-B1E10C8602B3}"/>
            </c:ext>
          </c:extLst>
        </c:ser>
        <c:ser>
          <c:idx val="10"/>
          <c:order val="10"/>
          <c:tx>
            <c:strRef>
              <c:f>Usable!$AO$12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Usable!$AQ$12</c:f>
              <c:numCache>
                <c:formatCode>General</c:formatCode>
                <c:ptCount val="1"/>
                <c:pt idx="0">
                  <c:v>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34-4773-9D81-B1E10C8602B3}"/>
            </c:ext>
          </c:extLst>
        </c:ser>
        <c:ser>
          <c:idx val="11"/>
          <c:order val="11"/>
          <c:tx>
            <c:strRef>
              <c:f>Usable!$AO$13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Usable!$AQ$13</c:f>
              <c:numCache>
                <c:formatCode>General</c:formatCode>
                <c:ptCount val="1"/>
                <c:pt idx="0">
                  <c:v>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34-4773-9D81-B1E10C8602B3}"/>
            </c:ext>
          </c:extLst>
        </c:ser>
        <c:ser>
          <c:idx val="12"/>
          <c:order val="12"/>
          <c:tx>
            <c:strRef>
              <c:f>Usable!$AO$14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Usable!$AQ$14</c:f>
              <c:numCache>
                <c:formatCode>General</c:formatCode>
                <c:ptCount val="1"/>
                <c:pt idx="0">
                  <c:v>1690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34-4773-9D81-B1E10C8602B3}"/>
            </c:ext>
          </c:extLst>
        </c:ser>
        <c:ser>
          <c:idx val="13"/>
          <c:order val="13"/>
          <c:tx>
            <c:strRef>
              <c:f>Usable!$AO$15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Usable!$AQ$15</c:f>
              <c:numCache>
                <c:formatCode>General</c:formatCode>
                <c:ptCount val="1"/>
                <c:pt idx="0">
                  <c:v>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634-4773-9D81-B1E10C8602B3}"/>
            </c:ext>
          </c:extLst>
        </c:ser>
        <c:ser>
          <c:idx val="14"/>
          <c:order val="14"/>
          <c:tx>
            <c:strRef>
              <c:f>Usable!$AO$16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Usable!$AQ$16</c:f>
              <c:numCache>
                <c:formatCode>General</c:formatCode>
                <c:ptCount val="1"/>
                <c:pt idx="0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34-4773-9D81-B1E10C8602B3}"/>
            </c:ext>
          </c:extLst>
        </c:ser>
        <c:ser>
          <c:idx val="15"/>
          <c:order val="15"/>
          <c:tx>
            <c:strRef>
              <c:f>Usable!$AO$17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Usable!$AQ$17</c:f>
              <c:numCache>
                <c:formatCode>General</c:formatCode>
                <c:ptCount val="1"/>
                <c:pt idx="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634-4773-9D81-B1E10C8602B3}"/>
            </c:ext>
          </c:extLst>
        </c:ser>
        <c:ser>
          <c:idx val="16"/>
          <c:order val="16"/>
          <c:tx>
            <c:strRef>
              <c:f>Usable!$AO$18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Usable!$AQ$18</c:f>
              <c:numCache>
                <c:formatCode>General</c:formatCode>
                <c:ptCount val="1"/>
                <c:pt idx="0">
                  <c:v>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634-4773-9D81-B1E10C8602B3}"/>
            </c:ext>
          </c:extLst>
        </c:ser>
        <c:ser>
          <c:idx val="17"/>
          <c:order val="17"/>
          <c:tx>
            <c:strRef>
              <c:f>Usable!$AO$19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Usable!$AQ$19</c:f>
              <c:numCache>
                <c:formatCode>General</c:formatCode>
                <c:ptCount val="1"/>
                <c:pt idx="0">
                  <c:v>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634-4773-9D81-B1E10C8602B3}"/>
            </c:ext>
          </c:extLst>
        </c:ser>
        <c:ser>
          <c:idx val="18"/>
          <c:order val="18"/>
          <c:tx>
            <c:strRef>
              <c:f>Usable!$AO$20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Usable!$AQ$20</c:f>
              <c:numCache>
                <c:formatCode>General</c:formatCode>
                <c:ptCount val="1"/>
                <c:pt idx="0">
                  <c:v>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634-4773-9D81-B1E10C8602B3}"/>
            </c:ext>
          </c:extLst>
        </c:ser>
        <c:ser>
          <c:idx val="19"/>
          <c:order val="19"/>
          <c:tx>
            <c:strRef>
              <c:f>Usable!$AO$21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Usable!$AQ$21</c:f>
              <c:numCache>
                <c:formatCode>General</c:formatCode>
                <c:ptCount val="1"/>
                <c:pt idx="0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634-4773-9D81-B1E10C8602B3}"/>
            </c:ext>
          </c:extLst>
        </c:ser>
        <c:ser>
          <c:idx val="20"/>
          <c:order val="20"/>
          <c:tx>
            <c:strRef>
              <c:f>Usable!$AO$22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Usable!$AQ$22</c:f>
              <c:numCache>
                <c:formatCode>General</c:formatCode>
                <c:ptCount val="1"/>
                <c:pt idx="0">
                  <c:v>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634-4773-9D81-B1E10C8602B3}"/>
            </c:ext>
          </c:extLst>
        </c:ser>
        <c:ser>
          <c:idx val="21"/>
          <c:order val="21"/>
          <c:tx>
            <c:strRef>
              <c:f>Usable!$AO$23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Usable!$AQ$23</c:f>
              <c:numCache>
                <c:formatCode>General</c:formatCode>
                <c:ptCount val="1"/>
                <c:pt idx="0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634-4773-9D81-B1E10C8602B3}"/>
            </c:ext>
          </c:extLst>
        </c:ser>
        <c:ser>
          <c:idx val="22"/>
          <c:order val="22"/>
          <c:tx>
            <c:strRef>
              <c:f>Usable!$AO$24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Usable!$AQ$24</c:f>
              <c:numCache>
                <c:formatCode>General</c:formatCode>
                <c:ptCount val="1"/>
                <c:pt idx="0">
                  <c:v>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634-4773-9D81-B1E10C8602B3}"/>
            </c:ext>
          </c:extLst>
        </c:ser>
        <c:ser>
          <c:idx val="23"/>
          <c:order val="23"/>
          <c:tx>
            <c:strRef>
              <c:f>Usable!$AO$25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Usable!$AQ$25</c:f>
              <c:numCache>
                <c:formatCode>General</c:formatCode>
                <c:ptCount val="1"/>
                <c:pt idx="0">
                  <c:v>1594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634-4773-9D81-B1E10C8602B3}"/>
            </c:ext>
          </c:extLst>
        </c:ser>
        <c:ser>
          <c:idx val="24"/>
          <c:order val="24"/>
          <c:tx>
            <c:strRef>
              <c:f>Usable!$AO$26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Usable!$AQ$26</c:f>
              <c:numCache>
                <c:formatCode>General</c:formatCode>
                <c:ptCount val="1"/>
                <c:pt idx="0">
                  <c:v>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634-4773-9D81-B1E10C8602B3}"/>
            </c:ext>
          </c:extLst>
        </c:ser>
        <c:ser>
          <c:idx val="25"/>
          <c:order val="25"/>
          <c:tx>
            <c:strRef>
              <c:f>Usable!$AO$27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Usable!$AQ$27</c:f>
              <c:numCache>
                <c:formatCode>General</c:formatCode>
                <c:ptCount val="1"/>
                <c:pt idx="0">
                  <c:v>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634-4773-9D81-B1E10C8602B3}"/>
            </c:ext>
          </c:extLst>
        </c:ser>
        <c:ser>
          <c:idx val="26"/>
          <c:order val="26"/>
          <c:tx>
            <c:strRef>
              <c:f>Usable!$AO$28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Usable!$AQ$28</c:f>
              <c:numCache>
                <c:formatCode>General</c:formatCode>
                <c:ptCount val="1"/>
                <c:pt idx="0">
                  <c:v>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634-4773-9D81-B1E10C8602B3}"/>
            </c:ext>
          </c:extLst>
        </c:ser>
        <c:ser>
          <c:idx val="27"/>
          <c:order val="27"/>
          <c:tx>
            <c:strRef>
              <c:f>Usable!$AO$29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Usable!$AQ$29</c:f>
              <c:numCache>
                <c:formatCode>General</c:formatCode>
                <c:ptCount val="1"/>
                <c:pt idx="0">
                  <c:v>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634-4773-9D81-B1E10C8602B3}"/>
            </c:ext>
          </c:extLst>
        </c:ser>
        <c:ser>
          <c:idx val="28"/>
          <c:order val="28"/>
          <c:tx>
            <c:strRef>
              <c:f>Usable!$AO$30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Usable!$AQ$30</c:f>
              <c:numCache>
                <c:formatCode>General</c:formatCode>
                <c:ptCount val="1"/>
                <c:pt idx="0">
                  <c:v>1510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634-4773-9D81-B1E10C8602B3}"/>
            </c:ext>
          </c:extLst>
        </c:ser>
        <c:ser>
          <c:idx val="29"/>
          <c:order val="29"/>
          <c:tx>
            <c:strRef>
              <c:f>Usable!$AO$31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Usable!$AQ$31</c:f>
              <c:numCache>
                <c:formatCode>General</c:formatCode>
                <c:ptCount val="1"/>
                <c:pt idx="0">
                  <c:v>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634-4773-9D81-B1E10C8602B3}"/>
            </c:ext>
          </c:extLst>
        </c:ser>
        <c:ser>
          <c:idx val="30"/>
          <c:order val="30"/>
          <c:tx>
            <c:strRef>
              <c:f>Usable!$AO$32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Usable!$AQ$32</c:f>
              <c:numCache>
                <c:formatCode>General</c:formatCode>
                <c:ptCount val="1"/>
                <c:pt idx="0">
                  <c:v>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634-4773-9D81-B1E10C8602B3}"/>
            </c:ext>
          </c:extLst>
        </c:ser>
        <c:ser>
          <c:idx val="31"/>
          <c:order val="31"/>
          <c:tx>
            <c:strRef>
              <c:f>Usable!$AO$33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Usable!$AQ$33</c:f>
              <c:numCache>
                <c:formatCode>General</c:formatCode>
                <c:ptCount val="1"/>
                <c:pt idx="0">
                  <c:v>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634-4773-9D81-B1E10C8602B3}"/>
            </c:ext>
          </c:extLst>
        </c:ser>
        <c:ser>
          <c:idx val="32"/>
          <c:order val="32"/>
          <c:tx>
            <c:strRef>
              <c:f>Usable!$AO$34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Usable!$AQ$34</c:f>
              <c:numCache>
                <c:formatCode>General</c:formatCode>
                <c:ptCount val="1"/>
                <c:pt idx="0">
                  <c:v>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634-4773-9D81-B1E10C8602B3}"/>
            </c:ext>
          </c:extLst>
        </c:ser>
        <c:ser>
          <c:idx val="33"/>
          <c:order val="33"/>
          <c:tx>
            <c:strRef>
              <c:f>Usable!$AO$35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Usable!$AQ$35</c:f>
              <c:numCache>
                <c:formatCode>General</c:formatCode>
                <c:ptCount val="1"/>
                <c:pt idx="0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634-4773-9D81-B1E10C8602B3}"/>
            </c:ext>
          </c:extLst>
        </c:ser>
        <c:ser>
          <c:idx val="34"/>
          <c:order val="34"/>
          <c:tx>
            <c:strRef>
              <c:f>Usable!$AO$36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Usable!$AQ$36</c:f>
              <c:numCache>
                <c:formatCode>General</c:formatCode>
                <c:ptCount val="1"/>
                <c:pt idx="0">
                  <c:v>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634-4773-9D81-B1E10C8602B3}"/>
            </c:ext>
          </c:extLst>
        </c:ser>
        <c:ser>
          <c:idx val="35"/>
          <c:order val="35"/>
          <c:tx>
            <c:strRef>
              <c:f>Usable!$AO$37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Usable!$AQ$37</c:f>
              <c:numCache>
                <c:formatCode>General</c:formatCode>
                <c:ptCount val="1"/>
                <c:pt idx="0">
                  <c:v>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634-4773-9D81-B1E10C8602B3}"/>
            </c:ext>
          </c:extLst>
        </c:ser>
        <c:ser>
          <c:idx val="36"/>
          <c:order val="36"/>
          <c:tx>
            <c:strRef>
              <c:f>Usable!$AO$38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Usable!$AQ$38</c:f>
              <c:numCache>
                <c:formatCode>General</c:formatCode>
                <c:ptCount val="1"/>
                <c:pt idx="0">
                  <c:v>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634-4773-9D81-B1E10C8602B3}"/>
            </c:ext>
          </c:extLst>
        </c:ser>
        <c:ser>
          <c:idx val="37"/>
          <c:order val="37"/>
          <c:tx>
            <c:strRef>
              <c:f>Usable!$AO$39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Usable!$AQ$39</c:f>
              <c:numCache>
                <c:formatCode>General</c:formatCode>
                <c:ptCount val="1"/>
                <c:pt idx="0">
                  <c:v>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634-4773-9D81-B1E10C8602B3}"/>
            </c:ext>
          </c:extLst>
        </c:ser>
        <c:ser>
          <c:idx val="38"/>
          <c:order val="38"/>
          <c:tx>
            <c:strRef>
              <c:f>Usable!$AO$40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Usable!$AQ$40</c:f>
              <c:numCache>
                <c:formatCode>General</c:formatCode>
                <c:ptCount val="1"/>
                <c:pt idx="0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634-4773-9D81-B1E10C8602B3}"/>
            </c:ext>
          </c:extLst>
        </c:ser>
        <c:ser>
          <c:idx val="39"/>
          <c:order val="39"/>
          <c:tx>
            <c:strRef>
              <c:f>Usable!$AO$41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Usable!$AQ$41</c:f>
              <c:numCache>
                <c:formatCode>General</c:formatCode>
                <c:ptCount val="1"/>
                <c:pt idx="0">
                  <c:v>1557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634-4773-9D81-B1E10C8602B3}"/>
            </c:ext>
          </c:extLst>
        </c:ser>
        <c:ser>
          <c:idx val="40"/>
          <c:order val="40"/>
          <c:tx>
            <c:strRef>
              <c:f>Usable!$AO$42</c:f>
              <c:strCache>
                <c:ptCount val="1"/>
                <c:pt idx="0">
                  <c:v>41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Usable!$AQ$42</c:f>
              <c:numCache>
                <c:formatCode>General</c:formatCode>
                <c:ptCount val="1"/>
                <c:pt idx="0">
                  <c:v>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634-4773-9D81-B1E10C8602B3}"/>
            </c:ext>
          </c:extLst>
        </c:ser>
        <c:ser>
          <c:idx val="41"/>
          <c:order val="41"/>
          <c:tx>
            <c:strRef>
              <c:f>Usable!$AO$43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Usable!$AQ$43</c:f>
              <c:numCache>
                <c:formatCode>General</c:formatCode>
                <c:ptCount val="1"/>
                <c:pt idx="0">
                  <c:v>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634-4773-9D81-B1E10C8602B3}"/>
            </c:ext>
          </c:extLst>
        </c:ser>
        <c:ser>
          <c:idx val="42"/>
          <c:order val="42"/>
          <c:tx>
            <c:strRef>
              <c:f>Usable!$AO$44</c:f>
              <c:strCache>
                <c:ptCount val="1"/>
                <c:pt idx="0">
                  <c:v>43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Usable!$AQ$44</c:f>
              <c:numCache>
                <c:formatCode>General</c:formatCode>
                <c:ptCount val="1"/>
                <c:pt idx="0">
                  <c:v>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634-4773-9D81-B1E10C8602B3}"/>
            </c:ext>
          </c:extLst>
        </c:ser>
        <c:ser>
          <c:idx val="43"/>
          <c:order val="43"/>
          <c:tx>
            <c:strRef>
              <c:f>Usable!$AO$45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Usable!$AQ$45</c:f>
              <c:numCache>
                <c:formatCode>General</c:formatCode>
                <c:ptCount val="1"/>
                <c:pt idx="0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634-4773-9D81-B1E10C8602B3}"/>
            </c:ext>
          </c:extLst>
        </c:ser>
        <c:ser>
          <c:idx val="44"/>
          <c:order val="44"/>
          <c:tx>
            <c:strRef>
              <c:f>Usable!$AO$46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Usable!$AQ$46</c:f>
              <c:numCache>
                <c:formatCode>General</c:formatCode>
                <c:ptCount val="1"/>
                <c:pt idx="0">
                  <c:v>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634-4773-9D81-B1E10C8602B3}"/>
            </c:ext>
          </c:extLst>
        </c:ser>
        <c:ser>
          <c:idx val="45"/>
          <c:order val="45"/>
          <c:tx>
            <c:strRef>
              <c:f>Usable!$AO$47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Usable!$AQ$47</c:f>
              <c:numCache>
                <c:formatCode>General</c:formatCode>
                <c:ptCount val="1"/>
                <c:pt idx="0">
                  <c:v>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634-4773-9D81-B1E10C8602B3}"/>
            </c:ext>
          </c:extLst>
        </c:ser>
        <c:ser>
          <c:idx val="46"/>
          <c:order val="46"/>
          <c:tx>
            <c:strRef>
              <c:f>Usable!$AO$48</c:f>
              <c:strCache>
                <c:ptCount val="1"/>
                <c:pt idx="0">
                  <c:v>47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Usable!$AQ$48</c:f>
              <c:numCache>
                <c:formatCode>General</c:formatCode>
                <c:ptCount val="1"/>
                <c:pt idx="0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634-4773-9D81-B1E10C8602B3}"/>
            </c:ext>
          </c:extLst>
        </c:ser>
        <c:ser>
          <c:idx val="47"/>
          <c:order val="47"/>
          <c:tx>
            <c:strRef>
              <c:f>Usable!$AO$49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Usable!$AQ$49</c:f>
              <c:numCache>
                <c:formatCode>General</c:formatCode>
                <c:ptCount val="1"/>
                <c:pt idx="0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634-4773-9D81-B1E10C8602B3}"/>
            </c:ext>
          </c:extLst>
        </c:ser>
        <c:ser>
          <c:idx val="48"/>
          <c:order val="48"/>
          <c:tx>
            <c:strRef>
              <c:f>Usable!$AO$50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Usable!$AQ$50</c:f>
              <c:numCache>
                <c:formatCode>General</c:formatCode>
                <c:ptCount val="1"/>
                <c:pt idx="0">
                  <c:v>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634-4773-9D81-B1E10C8602B3}"/>
            </c:ext>
          </c:extLst>
        </c:ser>
        <c:ser>
          <c:idx val="49"/>
          <c:order val="49"/>
          <c:tx>
            <c:strRef>
              <c:f>Usable!$AO$51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Usable!$AQ$51</c:f>
              <c:numCache>
                <c:formatCode>General</c:formatCode>
                <c:ptCount val="1"/>
                <c:pt idx="0">
                  <c:v>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634-4773-9D81-B1E10C8602B3}"/>
            </c:ext>
          </c:extLst>
        </c:ser>
        <c:ser>
          <c:idx val="50"/>
          <c:order val="50"/>
          <c:tx>
            <c:strRef>
              <c:f>Usable!$AO$52</c:f>
              <c:strCache>
                <c:ptCount val="1"/>
                <c:pt idx="0">
                  <c:v>51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Usable!$AQ$52</c:f>
              <c:numCache>
                <c:formatCode>General</c:formatCode>
                <c:ptCount val="1"/>
                <c:pt idx="0">
                  <c:v>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634-4773-9D81-B1E10C8602B3}"/>
            </c:ext>
          </c:extLst>
        </c:ser>
        <c:ser>
          <c:idx val="51"/>
          <c:order val="51"/>
          <c:tx>
            <c:strRef>
              <c:f>Usable!$AO$53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Usable!$AQ$53</c:f>
              <c:numCache>
                <c:formatCode>General</c:formatCode>
                <c:ptCount val="1"/>
                <c:pt idx="0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634-4773-9D81-B1E10C8602B3}"/>
            </c:ext>
          </c:extLst>
        </c:ser>
        <c:ser>
          <c:idx val="52"/>
          <c:order val="52"/>
          <c:tx>
            <c:strRef>
              <c:f>Usable!$AO$54</c:f>
              <c:strCache>
                <c:ptCount val="1"/>
                <c:pt idx="0">
                  <c:v>53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Usable!$AQ$54</c:f>
              <c:numCache>
                <c:formatCode>General</c:formatCode>
                <c:ptCount val="1"/>
                <c:pt idx="0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634-4773-9D81-B1E10C8602B3}"/>
            </c:ext>
          </c:extLst>
        </c:ser>
        <c:ser>
          <c:idx val="53"/>
          <c:order val="53"/>
          <c:tx>
            <c:strRef>
              <c:f>Usable!$AO$55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Usable!$AQ$55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634-4773-9D81-B1E10C8602B3}"/>
            </c:ext>
          </c:extLst>
        </c:ser>
        <c:ser>
          <c:idx val="54"/>
          <c:order val="54"/>
          <c:tx>
            <c:strRef>
              <c:f>Usable!$AO$56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Usable!$AQ$56</c:f>
              <c:numCache>
                <c:formatCode>General</c:formatCode>
                <c:ptCount val="1"/>
                <c:pt idx="0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634-4773-9D81-B1E10C8602B3}"/>
            </c:ext>
          </c:extLst>
        </c:ser>
        <c:ser>
          <c:idx val="55"/>
          <c:order val="55"/>
          <c:tx>
            <c:strRef>
              <c:f>Usable!$AO$57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Usable!$AQ$57</c:f>
              <c:numCache>
                <c:formatCode>General</c:formatCode>
                <c:ptCount val="1"/>
                <c:pt idx="0">
                  <c:v>1482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634-4773-9D81-B1E10C8602B3}"/>
            </c:ext>
          </c:extLst>
        </c:ser>
        <c:ser>
          <c:idx val="56"/>
          <c:order val="56"/>
          <c:tx>
            <c:strRef>
              <c:f>Usable!$AO$58</c:f>
              <c:strCache>
                <c:ptCount val="1"/>
                <c:pt idx="0">
                  <c:v>57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Usable!$AQ$58</c:f>
              <c:numCache>
                <c:formatCode>General</c:formatCode>
                <c:ptCount val="1"/>
                <c:pt idx="0">
                  <c:v>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634-4773-9D81-B1E10C8602B3}"/>
            </c:ext>
          </c:extLst>
        </c:ser>
        <c:ser>
          <c:idx val="57"/>
          <c:order val="57"/>
          <c:tx>
            <c:strRef>
              <c:f>Usable!$AO$59</c:f>
              <c:strCache>
                <c:ptCount val="1"/>
                <c:pt idx="0">
                  <c:v>58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Usable!$AQ$59</c:f>
              <c:numCache>
                <c:formatCode>General</c:formatCode>
                <c:ptCount val="1"/>
                <c:pt idx="0">
                  <c:v>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634-4773-9D81-B1E10C8602B3}"/>
            </c:ext>
          </c:extLst>
        </c:ser>
        <c:ser>
          <c:idx val="58"/>
          <c:order val="58"/>
          <c:tx>
            <c:strRef>
              <c:f>Usable!$AO$60</c:f>
              <c:strCache>
                <c:ptCount val="1"/>
                <c:pt idx="0">
                  <c:v>59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Usable!$AQ$60</c:f>
              <c:numCache>
                <c:formatCode>General</c:formatCode>
                <c:ptCount val="1"/>
                <c:pt idx="0">
                  <c:v>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634-4773-9D81-B1E10C8602B3}"/>
            </c:ext>
          </c:extLst>
        </c:ser>
        <c:ser>
          <c:idx val="59"/>
          <c:order val="59"/>
          <c:tx>
            <c:strRef>
              <c:f>Usable!$AO$61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Usable!$AQ$1</c:f>
              <c:strCache>
                <c:ptCount val="1"/>
                <c:pt idx="0">
                  <c:v>Total Muestras</c:v>
                </c:pt>
              </c:strCache>
            </c:strRef>
          </c:cat>
          <c:val>
            <c:numRef>
              <c:f>Usable!$AQ$61</c:f>
              <c:numCache>
                <c:formatCode>General</c:formatCode>
                <c:ptCount val="1"/>
                <c:pt idx="0">
                  <c:v>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634-4773-9D81-B1E10C860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3103887"/>
        <c:axId val="1913113007"/>
        <c:axId val="0"/>
      </c:bar3DChart>
      <c:catAx>
        <c:axId val="19131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13113007"/>
        <c:crosses val="autoZero"/>
        <c:auto val="1"/>
        <c:lblAlgn val="ctr"/>
        <c:lblOffset val="100"/>
        <c:noMultiLvlLbl val="0"/>
      </c:catAx>
      <c:valAx>
        <c:axId val="19131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1310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76199</xdr:colOff>
      <xdr:row>10</xdr:row>
      <xdr:rowOff>4762</xdr:rowOff>
    </xdr:from>
    <xdr:to>
      <xdr:col>16</xdr:col>
      <xdr:colOff>504824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E838B6-F1D4-4EC1-FA73-F840D46F9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1085849</xdr:colOff>
      <xdr:row>31</xdr:row>
      <xdr:rowOff>209549</xdr:rowOff>
    </xdr:from>
    <xdr:to>
      <xdr:col>18</xdr:col>
      <xdr:colOff>180975</xdr:colOff>
      <xdr:row>55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8AC89D-2459-427A-8DAF-53A3B42E6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1C7F4-2EFD-4091-85C9-60895F95B2AC}" name="Tabla1" displayName="Tabla1" ref="D2:I62" totalsRowShown="0" headerRowDxfId="50" dataDxfId="49">
  <autoFilter ref="D2:I62" xr:uid="{0CD1C7F4-2EFD-4091-85C9-60895F95B2AC}"/>
  <tableColumns count="6">
    <tableColumn id="1" xr3:uid="{6BA6B12B-105A-4B3A-BC7E-31C8E66D891F}" name="Imagen" dataDxfId="48"/>
    <tableColumn id="2" xr3:uid="{B7507D06-29B5-433B-80FA-EC93B0F6DDBF}" name="Total" dataDxfId="47"/>
    <tableColumn id="3" xr3:uid="{3CE5B81F-1586-4C36-85E5-E42EC745C517}" name="Minimo" dataDxfId="46"/>
    <tableColumn id="4" xr3:uid="{C7D42B1A-B94E-4D73-BBB2-1E293678F524}" name="Maximo" dataDxfId="45"/>
    <tableColumn id="5" xr3:uid="{AE38889A-35A0-4333-A12B-3CBB4EBB38D6}" name="Mediana" dataDxfId="44"/>
    <tableColumn id="6" xr3:uid="{A89180A5-DD37-4874-8D22-413AAB013058}" name="Promedio" dataDxfId="4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20AFE-9900-4CD2-AC70-08973925FF62}" name="Tabla2" displayName="Tabla2" ref="K2:AX62" totalsRowShown="0" headerRowDxfId="42" dataDxfId="41">
  <autoFilter ref="K2:AX62" xr:uid="{62C20AFE-9900-4CD2-AC70-08973925FF62}"/>
  <tableColumns count="40">
    <tableColumn id="1" xr3:uid="{CCC141F1-9C5D-41DC-B502-956C3427F560}" name="Imagen" dataDxfId="40"/>
    <tableColumn id="2" xr3:uid="{FFB40616-F229-4A17-B200-610CF1159E38}" name="U1" dataDxfId="39"/>
    <tableColumn id="3" xr3:uid="{2D3B1C49-5DCE-4866-82B4-26C282BB8AE4}" name="U10" dataDxfId="38"/>
    <tableColumn id="4" xr3:uid="{70E807C7-3D2B-4105-8881-2104C646A250}" name="U11" dataDxfId="37"/>
    <tableColumn id="5" xr3:uid="{6D5DDD5C-8610-4944-8CC2-01D2582B1DDD}" name="U12" dataDxfId="36"/>
    <tableColumn id="6" xr3:uid="{A775656C-171A-4148-8390-2415E1B118D4}" name="U13" dataDxfId="35"/>
    <tableColumn id="7" xr3:uid="{235D439F-772E-4C93-A666-E71FC08D9D63}" name="U14" dataDxfId="34"/>
    <tableColumn id="8" xr3:uid="{5911365F-454F-4D6F-B10B-55FF2F66712A}" name="U15" dataDxfId="33"/>
    <tableColumn id="9" xr3:uid="{834225E3-9AEC-4482-B26B-867AD32E6BC2}" name="U16" dataDxfId="32"/>
    <tableColumn id="10" xr3:uid="{A285587A-BB23-4E11-A69B-A50C24F56439}" name="U17" dataDxfId="31"/>
    <tableColumn id="11" xr3:uid="{573539CA-78FC-4833-95E7-ECD47F18D24B}" name="U18" dataDxfId="30"/>
    <tableColumn id="12" xr3:uid="{91D26FB6-8D34-436E-B581-51E254EF0FD5}" name="U19" dataDxfId="29"/>
    <tableColumn id="13" xr3:uid="{F1CF9111-9D0D-4E7D-A22D-80BD26846300}" name="U2" dataDxfId="28"/>
    <tableColumn id="14" xr3:uid="{E4548F52-EBE9-4C68-B267-4FB462D9CAA1}" name="U20" dataDxfId="27"/>
    <tableColumn id="15" xr3:uid="{358C7E56-E8E5-498C-8027-ED13B722E98D}" name="U21" dataDxfId="26"/>
    <tableColumn id="16" xr3:uid="{10CB4065-2443-462C-8F95-D5583A0D87D8}" name="U22" dataDxfId="25"/>
    <tableColumn id="17" xr3:uid="{865C5613-3363-40F9-ADC9-DF2D5E55FB52}" name="U23" dataDxfId="24"/>
    <tableColumn id="18" xr3:uid="{F970BD6E-C6B9-4A21-9A16-599BF410D8C9}" name="U24" dataDxfId="23"/>
    <tableColumn id="19" xr3:uid="{5EBF551D-0DD3-49AF-89A1-DFAD265AAB94}" name="U25" dataDxfId="22"/>
    <tableColumn id="20" xr3:uid="{9CBDF133-6AE1-4211-B296-0F295BB5B02F}" name="U26" dataDxfId="21"/>
    <tableColumn id="21" xr3:uid="{9D1B97D9-DFAB-4EC1-A5A1-550DDEF1C060}" name="U27" dataDxfId="20"/>
    <tableColumn id="22" xr3:uid="{BD07EB22-AC65-4EB2-AD2F-6EBC3FA76A5D}" name="U28" dataDxfId="19"/>
    <tableColumn id="23" xr3:uid="{7F5E4E0B-FA63-44A9-BFEA-2C2523B0225D}" name="U29" dataDxfId="18"/>
    <tableColumn id="24" xr3:uid="{096F6D99-5100-485D-A2F8-AD2BEB5CEA71}" name="U3" dataDxfId="17"/>
    <tableColumn id="25" xr3:uid="{B9F061A2-4610-4E0F-95B8-FDDA60BDC0F1}" name="U30" dataDxfId="16"/>
    <tableColumn id="26" xr3:uid="{F4240FFA-EF9A-4816-B07A-6BE6C4D91264}" name="U31" dataDxfId="15"/>
    <tableColumn id="27" xr3:uid="{EC5CBF94-7013-4D76-81B7-2953DE449AF5}" name="U32" dataDxfId="14"/>
    <tableColumn id="28" xr3:uid="{7884FAFC-F368-4AF6-973C-7688CAEF4394}" name="U33" dataDxfId="13"/>
    <tableColumn id="29" xr3:uid="{849F144A-93CC-40FD-9693-D80130EFBAFE}" name="U34" dataDxfId="12"/>
    <tableColumn id="30" xr3:uid="{A122CDDE-7F14-454A-A22A-DD1CD3EE836F}" name="U35" dataDxfId="11"/>
    <tableColumn id="31" xr3:uid="{E289F787-2493-444D-8445-5483A723D4ED}" name="U36" dataDxfId="10"/>
    <tableColumn id="32" xr3:uid="{0C2842AC-A7CA-4327-9727-ED3E8EF959A1}" name="U37" dataDxfId="9"/>
    <tableColumn id="33" xr3:uid="{A3992E66-0E26-4FED-AA2D-B24C2B2A7AC0}" name="U38" dataDxfId="8"/>
    <tableColumn id="34" xr3:uid="{60CEBC10-3B5F-47C3-A133-EFBDB36F17C1}" name="U4" dataDxfId="7"/>
    <tableColumn id="35" xr3:uid="{053DDF65-2E5A-4935-9B53-76AD9DB720DE}" name="U5" dataDxfId="6"/>
    <tableColumn id="36" xr3:uid="{B5FABE30-EEB3-4974-9DC7-1A5BCB11A73B}" name="U6" dataDxfId="5"/>
    <tableColumn id="37" xr3:uid="{C1DB3E3F-4A78-47C9-8F64-6FF4B342A162}" name="U7" dataDxfId="4"/>
    <tableColumn id="38" xr3:uid="{28746300-89BC-4679-90E2-E58465ABB7C8}" name="U8" dataDxfId="3"/>
    <tableColumn id="39" xr3:uid="{33538753-44B3-4E3A-8EE5-5BA27731C7BF}" name="U9" dataDxfId="2"/>
    <tableColumn id="40" xr3:uid="{8B9B32E4-C578-45C9-9B42-AEF983DA556C}" name="Total" dataDxfId="1">
      <calculatedColumnFormula>SUM(L3:AW3)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49609E-7D97-4416-B602-13FC15470DE9}" name="Tabla6" displayName="Tabla6" ref="AO1:AQ61" totalsRowShown="0">
  <autoFilter ref="AO1:AQ61" xr:uid="{6149609E-7D97-4416-B602-13FC15470DE9}"/>
  <sortState xmlns:xlrd2="http://schemas.microsoft.com/office/spreadsheetml/2017/richdata2" ref="AO2:AQ61">
    <sortCondition ref="AO1:AO61"/>
  </sortState>
  <tableColumns count="3">
    <tableColumn id="1" xr3:uid="{0BB328C9-9725-4662-8193-5A2032361094}" name="Imagen"/>
    <tableColumn id="2" xr3:uid="{BA7FD10E-EF6C-493C-B76C-D1499F10005D}" name="Total Participantes">
      <calculatedColumnFormula>SUM(B2:AM2)</calculatedColumnFormula>
    </tableColumn>
    <tableColumn id="3" xr3:uid="{836363A9-B2DD-4BD7-9D23-782BE66A1C14}" name="Total Muestras" dataDxfId="0">
      <calculatedColumnFormula>SUM(AS2:CD2)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5EABD3-16E2-479C-B039-742C366CF4B5}" name="Tabla12" displayName="Tabla12" ref="A1:AM61" totalsRowShown="0">
  <autoFilter ref="A1:AM61" xr:uid="{D05EABD3-16E2-479C-B039-742C366CF4B5}"/>
  <tableColumns count="39">
    <tableColumn id="1" xr3:uid="{8153CF29-4336-412D-8D05-F052BB945531}" name="Imagen"/>
    <tableColumn id="2" xr3:uid="{87585787-E371-48DF-8097-1DD7707B9706}" name="U1">
      <calculatedColumnFormula>IF(Summary!L3&gt;20,1,0)</calculatedColumnFormula>
    </tableColumn>
    <tableColumn id="3" xr3:uid="{47226907-34BE-4463-AAF8-F5EBEDB77A82}" name="U10">
      <calculatedColumnFormula>IF(Summary!M3&gt;20,1,0)</calculatedColumnFormula>
    </tableColumn>
    <tableColumn id="4" xr3:uid="{9F866354-96C3-4472-9D70-AB1AA6E56138}" name="U11">
      <calculatedColumnFormula>IF(Summary!N3&gt;20,1,0)</calculatedColumnFormula>
    </tableColumn>
    <tableColumn id="5" xr3:uid="{706A8240-E470-4217-A678-932AAC784DF1}" name="U12">
      <calculatedColumnFormula>IF(Summary!O3&gt;20,1,0)</calculatedColumnFormula>
    </tableColumn>
    <tableColumn id="6" xr3:uid="{8D11E28A-F98C-4813-92B0-56CDF785F8FB}" name="U13">
      <calculatedColumnFormula>IF(Summary!P3&gt;20,1,0)</calculatedColumnFormula>
    </tableColumn>
    <tableColumn id="7" xr3:uid="{C06622E8-4D83-4020-8001-C07AC6B77A47}" name="U14">
      <calculatedColumnFormula>IF(Summary!Q3&gt;20,1,0)</calculatedColumnFormula>
    </tableColumn>
    <tableColumn id="8" xr3:uid="{4EF18F04-D759-4BE7-A9AD-F2EF314A7A17}" name="U15">
      <calculatedColumnFormula>IF(Summary!R3&gt;20,1,0)</calculatedColumnFormula>
    </tableColumn>
    <tableColumn id="9" xr3:uid="{E6CC6FF6-C4FC-4FD6-8503-3B0CAFF54F79}" name="U16">
      <calculatedColumnFormula>IF(Summary!S3&gt;20,1,0)</calculatedColumnFormula>
    </tableColumn>
    <tableColumn id="10" xr3:uid="{A362BA71-C724-4D88-AD6B-E60F1F231599}" name="U17">
      <calculatedColumnFormula>IF(Summary!T3&gt;20,1,0)</calculatedColumnFormula>
    </tableColumn>
    <tableColumn id="11" xr3:uid="{3823776C-43DE-4F8E-9699-9A244FD8388D}" name="U18">
      <calculatedColumnFormula>IF(Summary!U3&gt;20,1,0)</calculatedColumnFormula>
    </tableColumn>
    <tableColumn id="12" xr3:uid="{2C9C551F-C9AD-4BC6-B465-47E469C9775A}" name="U19">
      <calculatedColumnFormula>IF(Summary!V3&gt;20,1,0)</calculatedColumnFormula>
    </tableColumn>
    <tableColumn id="13" xr3:uid="{F8D19B7A-7DAC-41A0-AAF9-7F4282A668B2}" name="U2">
      <calculatedColumnFormula>IF(Summary!W3&gt;20,1,0)</calculatedColumnFormula>
    </tableColumn>
    <tableColumn id="14" xr3:uid="{5E3BB5F5-BE97-4D55-A155-3A54719ECD39}" name="U20">
      <calculatedColumnFormula>IF(Summary!X3&gt;20,1,0)</calculatedColumnFormula>
    </tableColumn>
    <tableColumn id="15" xr3:uid="{FD875D3C-F928-4778-B927-9CC0AEA002E4}" name="U21">
      <calculatedColumnFormula>IF(Summary!Y3&gt;20,1,0)</calculatedColumnFormula>
    </tableColumn>
    <tableColumn id="16" xr3:uid="{8A2594AA-3C13-438C-9B32-9F797CA1246E}" name="U22">
      <calculatedColumnFormula>IF(Summary!Z3&gt;20,1,0)</calculatedColumnFormula>
    </tableColumn>
    <tableColumn id="17" xr3:uid="{CF48B983-52EA-45A7-9CE4-E1AC115C497A}" name="U23">
      <calculatedColumnFormula>IF(Summary!AA3&gt;20,1,0)</calculatedColumnFormula>
    </tableColumn>
    <tableColumn id="18" xr3:uid="{D50D333C-3A73-43C7-B448-AC56A5666A66}" name="U24">
      <calculatedColumnFormula>IF(Summary!AB3&gt;20,1,0)</calculatedColumnFormula>
    </tableColumn>
    <tableColumn id="19" xr3:uid="{AB66000E-00BA-4C1B-B780-683EF56973CE}" name="U25">
      <calculatedColumnFormula>IF(Summary!AC3&gt;20,1,0)</calculatedColumnFormula>
    </tableColumn>
    <tableColumn id="20" xr3:uid="{669D56EA-C208-4A5E-AEEE-A1E712E35A99}" name="U26">
      <calculatedColumnFormula>IF(Summary!AD3&gt;20,1,0)</calculatedColumnFormula>
    </tableColumn>
    <tableColumn id="21" xr3:uid="{DDDBE31E-19A2-4186-A7F1-2FE27EC0BF66}" name="U27">
      <calculatedColumnFormula>IF(Summary!AE3&gt;20,1,0)</calculatedColumnFormula>
    </tableColumn>
    <tableColumn id="22" xr3:uid="{2A645AC6-EC35-44E7-B0E9-98826B1A09BB}" name="U28">
      <calculatedColumnFormula>IF(Summary!AF3&gt;20,1,0)</calculatedColumnFormula>
    </tableColumn>
    <tableColumn id="23" xr3:uid="{99884596-83CE-468B-96B1-F1EDD1535F81}" name="U29">
      <calculatedColumnFormula>IF(Summary!AG3&gt;20,1,0)</calculatedColumnFormula>
    </tableColumn>
    <tableColumn id="24" xr3:uid="{A2FAF107-DF88-459F-9CB2-2315DFDE504C}" name="U3">
      <calculatedColumnFormula>IF(Summary!AH3&gt;20,1,0)</calculatedColumnFormula>
    </tableColumn>
    <tableColumn id="25" xr3:uid="{75B083CC-5FF9-4783-893F-E9CA3486280C}" name="U30">
      <calculatedColumnFormula>IF(Summary!AI3&gt;20,1,0)</calculatedColumnFormula>
    </tableColumn>
    <tableColumn id="26" xr3:uid="{AB2C4D6B-FCFE-4E19-9520-6F368F744B47}" name="U31">
      <calculatedColumnFormula>IF(Summary!AJ3&gt;20,1,0)</calculatedColumnFormula>
    </tableColumn>
    <tableColumn id="27" xr3:uid="{3FFBFCC7-A5A7-46F1-BEC7-F13CE1126727}" name="U32">
      <calculatedColumnFormula>IF(Summary!AK3&gt;20,1,0)</calculatedColumnFormula>
    </tableColumn>
    <tableColumn id="28" xr3:uid="{6E5D50CB-0885-468D-BD81-36B2485AD2A3}" name="U33">
      <calculatedColumnFormula>IF(Summary!AL3&gt;20,1,0)</calculatedColumnFormula>
    </tableColumn>
    <tableColumn id="29" xr3:uid="{58CC715A-0B5F-4008-9F89-9DA5B97D4127}" name="U34">
      <calculatedColumnFormula>IF(Summary!AM3&gt;20,1,0)</calculatedColumnFormula>
    </tableColumn>
    <tableColumn id="30" xr3:uid="{96CFC89D-6E47-4C8F-96D6-2ACFC3CB9243}" name="U35">
      <calculatedColumnFormula>IF(Summary!AN3&gt;20,1,0)</calculatedColumnFormula>
    </tableColumn>
    <tableColumn id="31" xr3:uid="{790F9D93-D520-452E-B3B4-0D768E1A9122}" name="U36">
      <calculatedColumnFormula>IF(Summary!AO3&gt;20,1,0)</calculatedColumnFormula>
    </tableColumn>
    <tableColumn id="32" xr3:uid="{DBDEA63D-BF84-42E8-971A-336E769F294D}" name="U37">
      <calculatedColumnFormula>IF(Summary!AP3&gt;20,1,0)</calculatedColumnFormula>
    </tableColumn>
    <tableColumn id="33" xr3:uid="{9F06D089-7E7E-4102-A70F-331E640C04CE}" name="U38">
      <calculatedColumnFormula>IF(Summary!AQ3&gt;20,1,0)</calculatedColumnFormula>
    </tableColumn>
    <tableColumn id="34" xr3:uid="{A6544D1D-E626-4C7D-B5D8-42BD36C01DC3}" name="U4">
      <calculatedColumnFormula>IF(Summary!AR3&gt;20,1,0)</calculatedColumnFormula>
    </tableColumn>
    <tableColumn id="35" xr3:uid="{6D6D8AAB-27DF-4994-8882-FDE9BB556091}" name="U5">
      <calculatedColumnFormula>IF(Summary!AS3&gt;20,1,0)</calculatedColumnFormula>
    </tableColumn>
    <tableColumn id="36" xr3:uid="{413E945F-9D22-46A5-B86A-81BC56B2BDE4}" name="U6">
      <calculatedColumnFormula>IF(Summary!AT3&gt;20,1,0)</calculatedColumnFormula>
    </tableColumn>
    <tableColumn id="37" xr3:uid="{81E1EF16-8DA2-4B6A-B63A-AEC9E05AB415}" name="U7">
      <calculatedColumnFormula>IF(Summary!AU3&gt;20,1,0)</calculatedColumnFormula>
    </tableColumn>
    <tableColumn id="38" xr3:uid="{187D5C03-6706-406C-8718-C6EE0E84CE73}" name="U8">
      <calculatedColumnFormula>IF(Summary!AV3&gt;20,1,0)</calculatedColumnFormula>
    </tableColumn>
    <tableColumn id="39" xr3:uid="{B950A990-039B-4DEB-BA42-67661A18E263}" name="U9">
      <calculatedColumnFormula>IF(Summary!AW3&gt;20,1,0)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33C989-7AA2-4C1A-A6F9-8C910F83DDF8}" name="Tabla11" displayName="Tabla11" ref="A1:G39" totalsRowShown="0" headerRowDxfId="58">
  <autoFilter ref="A1:G39" xr:uid="{AC33C989-7AA2-4C1A-A6F9-8C910F83DDF8}"/>
  <sortState xmlns:xlrd2="http://schemas.microsoft.com/office/spreadsheetml/2017/richdata2" ref="A2:G39">
    <sortCondition descending="1" ref="F1:F39"/>
  </sortState>
  <tableColumns count="7">
    <tableColumn id="1" xr3:uid="{0EB71BFC-324C-4D79-808D-883D13752CA1}" name="Participant" dataDxfId="57"/>
    <tableColumn id="2" xr3:uid="{B8367AE5-0AA6-45CF-A541-EE08CCE16E76}" name="Total Fixations" dataDxfId="56"/>
    <tableColumn id="3" xr3:uid="{96B286B8-35B8-4499-A67B-613EC3F1C411}" name="Mean fixations per image" dataDxfId="55"/>
    <tableColumn id="4" xr3:uid="{4E9634D1-1C7D-49AE-BCCA-7BC0A881173E}" name="Images with &gt; 20 fixations" dataDxfId="54" dataCellStyle="Porcentaje"/>
    <tableColumn id="5" xr3:uid="{B12AA30C-60FB-4A58-90A3-E2CFADD7F24B}" name="Total Fixations QC" dataDxfId="53"/>
    <tableColumn id="6" xr3:uid="{677D1A8B-0A9C-4217-A80C-59E4BC456FE8}" name="Mean Fixations QC" dataDxfId="52" dataCellStyle="Porcentaje"/>
    <tableColumn id="7" xr3:uid="{04F9CAEF-4849-4073-A196-ABC6A675BE0A}" name="Usable percent" dataDxfId="51" dataCellStyle="Porcentaje">
      <calculatedColumnFormula>(D2/60)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5"/>
  <sheetViews>
    <sheetView zoomScale="85" zoomScaleNormal="85" workbookViewId="0">
      <selection activeCell="A45" sqref="A45"/>
    </sheetView>
  </sheetViews>
  <sheetFormatPr baseColWidth="10" defaultColWidth="9.140625" defaultRowHeight="15" x14ac:dyDescent="0.25"/>
  <cols>
    <col min="1" max="1" width="12.7109375" customWidth="1"/>
    <col min="2" max="2" width="16" customWidth="1"/>
    <col min="3" max="3" width="26" customWidth="1"/>
    <col min="4" max="4" width="28.140625" customWidth="1"/>
    <col min="5" max="12" width="10" customWidth="1"/>
    <col min="13" max="63" width="1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4" t="s">
        <v>127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spans="1:64" x14ac:dyDescent="0.25">
      <c r="A2" t="s">
        <v>63</v>
      </c>
      <c r="B2">
        <v>3145</v>
      </c>
      <c r="C2" s="5">
        <v>482.29563900004717</v>
      </c>
      <c r="D2" s="5">
        <v>153.35314435613591</v>
      </c>
      <c r="E2">
        <v>51</v>
      </c>
      <c r="F2">
        <v>58</v>
      </c>
      <c r="G2">
        <v>56</v>
      </c>
      <c r="H2">
        <v>51</v>
      </c>
      <c r="I2">
        <v>44</v>
      </c>
      <c r="J2">
        <v>53</v>
      </c>
      <c r="K2">
        <v>55</v>
      </c>
      <c r="L2">
        <v>52</v>
      </c>
      <c r="M2">
        <v>49</v>
      </c>
      <c r="N2">
        <v>56</v>
      </c>
      <c r="O2">
        <v>49</v>
      </c>
      <c r="P2">
        <v>54</v>
      </c>
      <c r="Q2">
        <v>43</v>
      </c>
      <c r="R2">
        <v>52</v>
      </c>
      <c r="S2">
        <v>53</v>
      </c>
      <c r="T2">
        <v>48</v>
      </c>
      <c r="U2">
        <v>56</v>
      </c>
      <c r="V2">
        <v>56</v>
      </c>
      <c r="W2">
        <v>49</v>
      </c>
      <c r="X2">
        <v>58</v>
      </c>
      <c r="Y2">
        <v>55</v>
      </c>
      <c r="Z2">
        <v>50</v>
      </c>
      <c r="AA2">
        <v>55</v>
      </c>
      <c r="AB2">
        <v>55</v>
      </c>
      <c r="AC2">
        <v>55</v>
      </c>
      <c r="AD2">
        <v>48</v>
      </c>
      <c r="AE2">
        <v>61</v>
      </c>
      <c r="AF2">
        <v>58</v>
      </c>
      <c r="AG2">
        <v>57</v>
      </c>
      <c r="AH2">
        <v>47</v>
      </c>
      <c r="AI2">
        <v>56</v>
      </c>
      <c r="AJ2">
        <v>50</v>
      </c>
      <c r="AK2">
        <v>47</v>
      </c>
      <c r="AL2">
        <v>51</v>
      </c>
      <c r="AM2">
        <v>42</v>
      </c>
      <c r="AN2">
        <v>55</v>
      </c>
      <c r="AO2">
        <v>56</v>
      </c>
      <c r="AP2">
        <v>50</v>
      </c>
      <c r="AQ2">
        <v>58</v>
      </c>
      <c r="AR2">
        <v>52</v>
      </c>
      <c r="AS2">
        <v>49</v>
      </c>
      <c r="AT2">
        <v>54</v>
      </c>
      <c r="AU2">
        <v>55</v>
      </c>
      <c r="AV2">
        <v>45</v>
      </c>
      <c r="AW2">
        <v>51</v>
      </c>
      <c r="AX2">
        <v>53</v>
      </c>
      <c r="AY2">
        <v>43</v>
      </c>
      <c r="AZ2">
        <v>52</v>
      </c>
      <c r="BA2">
        <v>51</v>
      </c>
      <c r="BB2">
        <v>52</v>
      </c>
      <c r="BC2">
        <v>57</v>
      </c>
      <c r="BD2">
        <v>50</v>
      </c>
      <c r="BE2">
        <v>55</v>
      </c>
      <c r="BF2">
        <v>54</v>
      </c>
      <c r="BG2">
        <v>58</v>
      </c>
      <c r="BH2">
        <v>50</v>
      </c>
      <c r="BI2">
        <v>55</v>
      </c>
      <c r="BJ2">
        <v>48</v>
      </c>
      <c r="BK2">
        <v>55</v>
      </c>
      <c r="BL2">
        <v>57</v>
      </c>
    </row>
    <row r="3" spans="1:64" x14ac:dyDescent="0.25">
      <c r="A3" t="s">
        <v>64</v>
      </c>
      <c r="B3">
        <v>2118</v>
      </c>
      <c r="C3" s="5">
        <v>374.09231649793219</v>
      </c>
      <c r="D3" s="5">
        <v>176.62526746833441</v>
      </c>
      <c r="E3">
        <v>43</v>
      </c>
      <c r="F3">
        <v>46</v>
      </c>
      <c r="G3">
        <v>43</v>
      </c>
      <c r="H3">
        <v>43</v>
      </c>
      <c r="I3">
        <v>40</v>
      </c>
      <c r="J3">
        <v>39</v>
      </c>
      <c r="K3">
        <v>49</v>
      </c>
      <c r="L3">
        <v>36</v>
      </c>
      <c r="M3">
        <v>40</v>
      </c>
      <c r="N3">
        <v>37</v>
      </c>
      <c r="O3">
        <v>42</v>
      </c>
      <c r="P3">
        <v>42</v>
      </c>
      <c r="Q3">
        <v>39</v>
      </c>
      <c r="R3">
        <v>29</v>
      </c>
      <c r="S3">
        <v>41</v>
      </c>
      <c r="T3">
        <v>41</v>
      </c>
      <c r="U3">
        <v>41</v>
      </c>
      <c r="V3">
        <v>45</v>
      </c>
      <c r="W3">
        <v>34</v>
      </c>
      <c r="X3">
        <v>45</v>
      </c>
      <c r="Y3">
        <v>33</v>
      </c>
      <c r="Z3">
        <v>45</v>
      </c>
      <c r="AA3">
        <v>38</v>
      </c>
      <c r="AB3">
        <v>33</v>
      </c>
      <c r="AC3">
        <v>39</v>
      </c>
      <c r="AD3">
        <v>32</v>
      </c>
      <c r="AE3">
        <v>44</v>
      </c>
      <c r="AF3">
        <v>52</v>
      </c>
      <c r="AG3">
        <v>44</v>
      </c>
      <c r="AH3">
        <v>28</v>
      </c>
      <c r="AI3">
        <v>49</v>
      </c>
      <c r="AJ3">
        <v>42</v>
      </c>
      <c r="AK3">
        <v>40</v>
      </c>
      <c r="AL3">
        <v>35</v>
      </c>
      <c r="AM3">
        <v>44</v>
      </c>
      <c r="AN3">
        <v>42</v>
      </c>
      <c r="AO3">
        <v>42</v>
      </c>
      <c r="AP3">
        <v>40</v>
      </c>
      <c r="AQ3">
        <v>42</v>
      </c>
      <c r="AR3">
        <v>38</v>
      </c>
      <c r="AS3">
        <v>37</v>
      </c>
      <c r="AT3">
        <v>40</v>
      </c>
      <c r="AU3">
        <v>45</v>
      </c>
      <c r="AV3">
        <v>24</v>
      </c>
      <c r="AW3">
        <v>0</v>
      </c>
      <c r="AX3">
        <v>0</v>
      </c>
      <c r="AY3">
        <v>0</v>
      </c>
      <c r="AZ3">
        <v>0</v>
      </c>
      <c r="BA3">
        <v>40</v>
      </c>
      <c r="BB3">
        <v>6</v>
      </c>
      <c r="BC3">
        <v>26</v>
      </c>
      <c r="BD3">
        <v>15</v>
      </c>
      <c r="BE3">
        <v>0</v>
      </c>
      <c r="BF3">
        <v>20</v>
      </c>
      <c r="BG3">
        <v>38</v>
      </c>
      <c r="BH3">
        <v>32</v>
      </c>
      <c r="BI3">
        <v>49</v>
      </c>
      <c r="BJ3">
        <v>44</v>
      </c>
      <c r="BK3">
        <v>49</v>
      </c>
      <c r="BL3">
        <v>36</v>
      </c>
    </row>
    <row r="4" spans="1:64" x14ac:dyDescent="0.25">
      <c r="A4" t="s">
        <v>65</v>
      </c>
      <c r="B4">
        <v>279</v>
      </c>
      <c r="C4" s="5">
        <v>34.607437499798827</v>
      </c>
      <c r="D4" s="5">
        <v>124.0409946229349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38</v>
      </c>
      <c r="S4">
        <v>7</v>
      </c>
      <c r="T4">
        <v>6</v>
      </c>
      <c r="U4">
        <v>1</v>
      </c>
      <c r="V4">
        <v>13</v>
      </c>
      <c r="W4">
        <v>33</v>
      </c>
      <c r="X4">
        <v>24</v>
      </c>
      <c r="Y4">
        <v>3</v>
      </c>
      <c r="Z4">
        <v>12</v>
      </c>
      <c r="AA4">
        <v>12</v>
      </c>
      <c r="AB4">
        <v>3</v>
      </c>
      <c r="AC4">
        <v>0</v>
      </c>
      <c r="AD4">
        <v>0</v>
      </c>
      <c r="AE4">
        <v>12</v>
      </c>
      <c r="AF4">
        <v>18</v>
      </c>
      <c r="AG4">
        <v>0</v>
      </c>
      <c r="AH4">
        <v>1</v>
      </c>
      <c r="AI4">
        <v>2</v>
      </c>
      <c r="AJ4">
        <v>0</v>
      </c>
      <c r="AK4">
        <v>22</v>
      </c>
      <c r="AL4">
        <v>0</v>
      </c>
      <c r="AM4">
        <v>0</v>
      </c>
      <c r="AN4">
        <v>2</v>
      </c>
      <c r="AO4">
        <v>0</v>
      </c>
      <c r="AP4">
        <v>0</v>
      </c>
      <c r="AQ4">
        <v>0</v>
      </c>
      <c r="AR4">
        <v>2</v>
      </c>
      <c r="AS4">
        <v>8</v>
      </c>
      <c r="AT4">
        <v>0</v>
      </c>
      <c r="AU4">
        <v>0</v>
      </c>
      <c r="AV4">
        <v>9</v>
      </c>
      <c r="AW4">
        <v>0</v>
      </c>
      <c r="AX4">
        <v>1</v>
      </c>
      <c r="AY4">
        <v>4</v>
      </c>
      <c r="AZ4">
        <v>0</v>
      </c>
      <c r="BA4">
        <v>0</v>
      </c>
      <c r="BB4">
        <v>0</v>
      </c>
      <c r="BC4">
        <v>2</v>
      </c>
      <c r="BD4">
        <v>14</v>
      </c>
      <c r="BE4">
        <v>1</v>
      </c>
      <c r="BF4">
        <v>6</v>
      </c>
      <c r="BG4">
        <v>2</v>
      </c>
      <c r="BH4">
        <v>3</v>
      </c>
      <c r="BI4">
        <v>5</v>
      </c>
      <c r="BJ4">
        <v>12</v>
      </c>
      <c r="BK4">
        <v>1</v>
      </c>
      <c r="BL4">
        <v>0</v>
      </c>
    </row>
    <row r="5" spans="1:64" x14ac:dyDescent="0.25">
      <c r="A5" t="s">
        <v>66</v>
      </c>
      <c r="B5">
        <v>2954</v>
      </c>
      <c r="C5" s="5">
        <v>476.32540950051037</v>
      </c>
      <c r="D5" s="5">
        <v>161.24759969550121</v>
      </c>
      <c r="E5">
        <v>47</v>
      </c>
      <c r="F5">
        <v>50</v>
      </c>
      <c r="G5">
        <v>49</v>
      </c>
      <c r="H5">
        <v>49</v>
      </c>
      <c r="I5">
        <v>49</v>
      </c>
      <c r="J5">
        <v>46</v>
      </c>
      <c r="K5">
        <v>54</v>
      </c>
      <c r="L5">
        <v>52</v>
      </c>
      <c r="M5">
        <v>52</v>
      </c>
      <c r="N5">
        <v>53</v>
      </c>
      <c r="O5">
        <v>49</v>
      </c>
      <c r="P5">
        <v>50</v>
      </c>
      <c r="Q5">
        <v>52</v>
      </c>
      <c r="R5">
        <v>46</v>
      </c>
      <c r="S5">
        <v>46</v>
      </c>
      <c r="T5">
        <v>54</v>
      </c>
      <c r="U5">
        <v>50</v>
      </c>
      <c r="V5">
        <v>43</v>
      </c>
      <c r="W5">
        <v>49</v>
      </c>
      <c r="X5">
        <v>50</v>
      </c>
      <c r="Y5">
        <v>51</v>
      </c>
      <c r="Z5">
        <v>51</v>
      </c>
      <c r="AA5">
        <v>55</v>
      </c>
      <c r="AB5">
        <v>47</v>
      </c>
      <c r="AC5">
        <v>50</v>
      </c>
      <c r="AD5">
        <v>47</v>
      </c>
      <c r="AE5">
        <v>50</v>
      </c>
      <c r="AF5">
        <v>46</v>
      </c>
      <c r="AG5">
        <v>45</v>
      </c>
      <c r="AH5">
        <v>51</v>
      </c>
      <c r="AI5">
        <v>52</v>
      </c>
      <c r="AJ5">
        <v>47</v>
      </c>
      <c r="AK5">
        <v>47</v>
      </c>
      <c r="AL5">
        <v>47</v>
      </c>
      <c r="AM5">
        <v>45</v>
      </c>
      <c r="AN5">
        <v>51</v>
      </c>
      <c r="AO5">
        <v>50</v>
      </c>
      <c r="AP5">
        <v>47</v>
      </c>
      <c r="AQ5">
        <v>49</v>
      </c>
      <c r="AR5">
        <v>48</v>
      </c>
      <c r="AS5">
        <v>50</v>
      </c>
      <c r="AT5">
        <v>47</v>
      </c>
      <c r="AU5">
        <v>44</v>
      </c>
      <c r="AV5">
        <v>47</v>
      </c>
      <c r="AW5">
        <v>51</v>
      </c>
      <c r="AX5">
        <v>52</v>
      </c>
      <c r="AY5">
        <v>60</v>
      </c>
      <c r="AZ5">
        <v>50</v>
      </c>
      <c r="BA5">
        <v>45</v>
      </c>
      <c r="BB5">
        <v>50</v>
      </c>
      <c r="BC5">
        <v>53</v>
      </c>
      <c r="BD5">
        <v>48</v>
      </c>
      <c r="BE5">
        <v>53</v>
      </c>
      <c r="BF5">
        <v>52</v>
      </c>
      <c r="BG5">
        <v>46</v>
      </c>
      <c r="BH5">
        <v>51</v>
      </c>
      <c r="BI5">
        <v>47</v>
      </c>
      <c r="BJ5">
        <v>47</v>
      </c>
      <c r="BK5">
        <v>48</v>
      </c>
      <c r="BL5">
        <v>47</v>
      </c>
    </row>
    <row r="6" spans="1:64" x14ac:dyDescent="0.25">
      <c r="A6" t="s">
        <v>67</v>
      </c>
      <c r="B6">
        <v>1578</v>
      </c>
      <c r="C6" s="5">
        <v>226.47022099999549</v>
      </c>
      <c r="D6" s="5">
        <v>143.5172503168539</v>
      </c>
      <c r="E6">
        <v>28</v>
      </c>
      <c r="F6">
        <v>21</v>
      </c>
      <c r="G6">
        <v>21</v>
      </c>
      <c r="H6">
        <v>20</v>
      </c>
      <c r="I6">
        <v>16</v>
      </c>
      <c r="J6">
        <v>32</v>
      </c>
      <c r="K6">
        <v>25</v>
      </c>
      <c r="L6">
        <v>23</v>
      </c>
      <c r="M6">
        <v>24</v>
      </c>
      <c r="N6">
        <v>29</v>
      </c>
      <c r="O6">
        <v>27</v>
      </c>
      <c r="P6">
        <v>14</v>
      </c>
      <c r="Q6">
        <v>23</v>
      </c>
      <c r="R6">
        <v>25</v>
      </c>
      <c r="S6">
        <v>29</v>
      </c>
      <c r="T6">
        <v>20</v>
      </c>
      <c r="U6">
        <v>29</v>
      </c>
      <c r="V6">
        <v>25</v>
      </c>
      <c r="W6">
        <v>35</v>
      </c>
      <c r="X6">
        <v>31</v>
      </c>
      <c r="Y6">
        <v>22</v>
      </c>
      <c r="Z6">
        <v>34</v>
      </c>
      <c r="AA6">
        <v>30</v>
      </c>
      <c r="AB6">
        <v>30</v>
      </c>
      <c r="AC6">
        <v>29</v>
      </c>
      <c r="AD6">
        <v>31</v>
      </c>
      <c r="AE6">
        <v>32</v>
      </c>
      <c r="AF6">
        <v>22</v>
      </c>
      <c r="AG6">
        <v>25</v>
      </c>
      <c r="AH6">
        <v>24</v>
      </c>
      <c r="AI6">
        <v>28</v>
      </c>
      <c r="AJ6">
        <v>24</v>
      </c>
      <c r="AK6">
        <v>25</v>
      </c>
      <c r="AL6">
        <v>16</v>
      </c>
      <c r="AM6">
        <v>37</v>
      </c>
      <c r="AN6">
        <v>26</v>
      </c>
      <c r="AO6">
        <v>33</v>
      </c>
      <c r="AP6">
        <v>24</v>
      </c>
      <c r="AQ6">
        <v>25</v>
      </c>
      <c r="AR6">
        <v>29</v>
      </c>
      <c r="AS6">
        <v>24</v>
      </c>
      <c r="AT6">
        <v>26</v>
      </c>
      <c r="AU6">
        <v>20</v>
      </c>
      <c r="AV6">
        <v>28</v>
      </c>
      <c r="AW6">
        <v>25</v>
      </c>
      <c r="AX6">
        <v>28</v>
      </c>
      <c r="AY6">
        <v>33</v>
      </c>
      <c r="AZ6">
        <v>19</v>
      </c>
      <c r="BA6">
        <v>31</v>
      </c>
      <c r="BB6">
        <v>35</v>
      </c>
      <c r="BC6">
        <v>26</v>
      </c>
      <c r="BD6">
        <v>32</v>
      </c>
      <c r="BE6">
        <v>34</v>
      </c>
      <c r="BF6">
        <v>25</v>
      </c>
      <c r="BG6">
        <v>29</v>
      </c>
      <c r="BH6">
        <v>20</v>
      </c>
      <c r="BI6">
        <v>25</v>
      </c>
      <c r="BJ6">
        <v>26</v>
      </c>
      <c r="BK6">
        <v>24</v>
      </c>
      <c r="BL6">
        <v>25</v>
      </c>
    </row>
    <row r="7" spans="1:64" x14ac:dyDescent="0.25">
      <c r="A7" t="s">
        <v>68</v>
      </c>
      <c r="B7">
        <v>2467</v>
      </c>
      <c r="C7" s="5">
        <v>383.58935949999977</v>
      </c>
      <c r="D7" s="5">
        <v>155.48818788001611</v>
      </c>
      <c r="E7">
        <v>42</v>
      </c>
      <c r="F7">
        <v>38</v>
      </c>
      <c r="G7">
        <v>40</v>
      </c>
      <c r="H7">
        <v>39</v>
      </c>
      <c r="I7">
        <v>48</v>
      </c>
      <c r="J7">
        <v>32</v>
      </c>
      <c r="K7">
        <v>48</v>
      </c>
      <c r="L7">
        <v>45</v>
      </c>
      <c r="M7">
        <v>41</v>
      </c>
      <c r="N7">
        <v>40</v>
      </c>
      <c r="O7">
        <v>42</v>
      </c>
      <c r="P7">
        <v>29</v>
      </c>
      <c r="Q7">
        <v>43</v>
      </c>
      <c r="R7">
        <v>44</v>
      </c>
      <c r="S7">
        <v>39</v>
      </c>
      <c r="T7">
        <v>50</v>
      </c>
      <c r="U7">
        <v>44</v>
      </c>
      <c r="V7">
        <v>47</v>
      </c>
      <c r="W7">
        <v>41</v>
      </c>
      <c r="X7">
        <v>42</v>
      </c>
      <c r="Y7">
        <v>36</v>
      </c>
      <c r="Z7">
        <v>21</v>
      </c>
      <c r="AA7">
        <v>37</v>
      </c>
      <c r="AB7">
        <v>44</v>
      </c>
      <c r="AC7">
        <v>41</v>
      </c>
      <c r="AD7">
        <v>40</v>
      </c>
      <c r="AE7">
        <v>42</v>
      </c>
      <c r="AF7">
        <v>43</v>
      </c>
      <c r="AG7">
        <v>45</v>
      </c>
      <c r="AH7">
        <v>40</v>
      </c>
      <c r="AI7">
        <v>47</v>
      </c>
      <c r="AJ7">
        <v>41</v>
      </c>
      <c r="AK7">
        <v>31</v>
      </c>
      <c r="AL7">
        <v>43</v>
      </c>
      <c r="AM7">
        <v>41</v>
      </c>
      <c r="AN7">
        <v>39</v>
      </c>
      <c r="AO7">
        <v>38</v>
      </c>
      <c r="AP7">
        <v>41</v>
      </c>
      <c r="AQ7">
        <v>45</v>
      </c>
      <c r="AR7">
        <v>37</v>
      </c>
      <c r="AS7">
        <v>36</v>
      </c>
      <c r="AT7">
        <v>47</v>
      </c>
      <c r="AU7">
        <v>47</v>
      </c>
      <c r="AV7">
        <v>44</v>
      </c>
      <c r="AW7">
        <v>39</v>
      </c>
      <c r="AX7">
        <v>45</v>
      </c>
      <c r="AY7">
        <v>45</v>
      </c>
      <c r="AZ7">
        <v>37</v>
      </c>
      <c r="BA7">
        <v>34</v>
      </c>
      <c r="BB7">
        <v>44</v>
      </c>
      <c r="BC7">
        <v>40</v>
      </c>
      <c r="BD7">
        <v>41</v>
      </c>
      <c r="BE7">
        <v>42</v>
      </c>
      <c r="BF7">
        <v>44</v>
      </c>
      <c r="BG7">
        <v>43</v>
      </c>
      <c r="BH7">
        <v>42</v>
      </c>
      <c r="BI7">
        <v>44</v>
      </c>
      <c r="BJ7">
        <v>38</v>
      </c>
      <c r="BK7">
        <v>50</v>
      </c>
      <c r="BL7">
        <v>39</v>
      </c>
    </row>
    <row r="8" spans="1:64" x14ac:dyDescent="0.25">
      <c r="A8" t="s">
        <v>69</v>
      </c>
      <c r="B8">
        <v>2961</v>
      </c>
      <c r="C8" s="5">
        <v>489.1519175000285</v>
      </c>
      <c r="D8" s="5">
        <v>165.19821597434259</v>
      </c>
      <c r="E8">
        <v>53</v>
      </c>
      <c r="F8">
        <v>50</v>
      </c>
      <c r="G8">
        <v>52</v>
      </c>
      <c r="H8">
        <v>47</v>
      </c>
      <c r="I8">
        <v>50</v>
      </c>
      <c r="J8">
        <v>47</v>
      </c>
      <c r="K8">
        <v>39</v>
      </c>
      <c r="L8">
        <v>52</v>
      </c>
      <c r="M8">
        <v>37</v>
      </c>
      <c r="N8">
        <v>46</v>
      </c>
      <c r="O8">
        <v>51</v>
      </c>
      <c r="P8">
        <v>52</v>
      </c>
      <c r="Q8">
        <v>52</v>
      </c>
      <c r="R8">
        <v>44</v>
      </c>
      <c r="S8">
        <v>55</v>
      </c>
      <c r="T8">
        <v>50</v>
      </c>
      <c r="U8">
        <v>47</v>
      </c>
      <c r="V8">
        <v>51</v>
      </c>
      <c r="W8">
        <v>55</v>
      </c>
      <c r="X8">
        <v>48</v>
      </c>
      <c r="Y8">
        <v>48</v>
      </c>
      <c r="Z8">
        <v>48</v>
      </c>
      <c r="AA8">
        <v>51</v>
      </c>
      <c r="AB8">
        <v>49</v>
      </c>
      <c r="AC8">
        <v>49</v>
      </c>
      <c r="AD8">
        <v>53</v>
      </c>
      <c r="AE8">
        <v>49</v>
      </c>
      <c r="AF8">
        <v>54</v>
      </c>
      <c r="AG8">
        <v>52</v>
      </c>
      <c r="AH8">
        <v>51</v>
      </c>
      <c r="AI8">
        <v>52</v>
      </c>
      <c r="AJ8">
        <v>45</v>
      </c>
      <c r="AK8">
        <v>49</v>
      </c>
      <c r="AL8">
        <v>45</v>
      </c>
      <c r="AM8">
        <v>49</v>
      </c>
      <c r="AN8">
        <v>52</v>
      </c>
      <c r="AO8">
        <v>47</v>
      </c>
      <c r="AP8">
        <v>49</v>
      </c>
      <c r="AQ8">
        <v>52</v>
      </c>
      <c r="AR8">
        <v>51</v>
      </c>
      <c r="AS8">
        <v>47</v>
      </c>
      <c r="AT8">
        <v>50</v>
      </c>
      <c r="AU8">
        <v>54</v>
      </c>
      <c r="AV8">
        <v>51</v>
      </c>
      <c r="AW8">
        <v>49</v>
      </c>
      <c r="AX8">
        <v>48</v>
      </c>
      <c r="AY8">
        <v>47</v>
      </c>
      <c r="AZ8">
        <v>54</v>
      </c>
      <c r="BA8">
        <v>50</v>
      </c>
      <c r="BB8">
        <v>47</v>
      </c>
      <c r="BC8">
        <v>50</v>
      </c>
      <c r="BD8">
        <v>51</v>
      </c>
      <c r="BE8">
        <v>51</v>
      </c>
      <c r="BF8">
        <v>47</v>
      </c>
      <c r="BG8">
        <v>47</v>
      </c>
      <c r="BH8">
        <v>50</v>
      </c>
      <c r="BI8">
        <v>54</v>
      </c>
      <c r="BJ8">
        <v>44</v>
      </c>
      <c r="BK8">
        <v>52</v>
      </c>
      <c r="BL8">
        <v>45</v>
      </c>
    </row>
    <row r="9" spans="1:64" x14ac:dyDescent="0.25">
      <c r="A9" t="s">
        <v>70</v>
      </c>
      <c r="B9">
        <v>1524</v>
      </c>
      <c r="C9" s="5">
        <v>253.5668524996145</v>
      </c>
      <c r="D9" s="5">
        <v>166.38244914672859</v>
      </c>
      <c r="E9">
        <v>48</v>
      </c>
      <c r="F9">
        <v>38</v>
      </c>
      <c r="G9">
        <v>27</v>
      </c>
      <c r="H9">
        <v>36</v>
      </c>
      <c r="I9">
        <v>43</v>
      </c>
      <c r="J9">
        <v>40</v>
      </c>
      <c r="K9">
        <v>33</v>
      </c>
      <c r="L9">
        <v>36</v>
      </c>
      <c r="M9">
        <v>35</v>
      </c>
      <c r="N9">
        <v>39</v>
      </c>
      <c r="O9">
        <v>25</v>
      </c>
      <c r="P9">
        <v>43</v>
      </c>
      <c r="Q9">
        <v>52</v>
      </c>
      <c r="R9">
        <v>43</v>
      </c>
      <c r="S9">
        <v>36</v>
      </c>
      <c r="T9">
        <v>46</v>
      </c>
      <c r="U9">
        <v>47</v>
      </c>
      <c r="V9">
        <v>45</v>
      </c>
      <c r="W9">
        <v>48</v>
      </c>
      <c r="X9">
        <v>23</v>
      </c>
      <c r="Y9">
        <v>51</v>
      </c>
      <c r="Z9">
        <v>33</v>
      </c>
      <c r="AA9">
        <v>37</v>
      </c>
      <c r="AB9">
        <v>46</v>
      </c>
      <c r="AC9">
        <v>32</v>
      </c>
      <c r="AD9">
        <v>37</v>
      </c>
      <c r="AE9">
        <v>43</v>
      </c>
      <c r="AF9">
        <v>45</v>
      </c>
      <c r="AG9">
        <v>41</v>
      </c>
      <c r="AH9">
        <v>27</v>
      </c>
      <c r="AI9">
        <v>21</v>
      </c>
      <c r="AJ9">
        <v>34</v>
      </c>
      <c r="AK9">
        <v>41</v>
      </c>
      <c r="AL9">
        <v>33</v>
      </c>
      <c r="AM9">
        <v>29</v>
      </c>
      <c r="AN9">
        <v>35</v>
      </c>
      <c r="AO9">
        <v>23</v>
      </c>
      <c r="AP9">
        <v>5</v>
      </c>
      <c r="AQ9">
        <v>2</v>
      </c>
      <c r="AR9">
        <v>0</v>
      </c>
      <c r="AS9">
        <v>13</v>
      </c>
      <c r="AT9">
        <v>0</v>
      </c>
      <c r="AU9">
        <v>2</v>
      </c>
      <c r="AV9">
        <v>1</v>
      </c>
      <c r="AW9">
        <v>6</v>
      </c>
      <c r="AX9">
        <v>25</v>
      </c>
      <c r="AY9">
        <v>27</v>
      </c>
      <c r="AZ9">
        <v>7</v>
      </c>
      <c r="BA9">
        <v>25</v>
      </c>
      <c r="BB9">
        <v>0</v>
      </c>
      <c r="BC9">
        <v>1</v>
      </c>
      <c r="BD9">
        <v>2</v>
      </c>
      <c r="BE9">
        <v>2</v>
      </c>
      <c r="BF9">
        <v>5</v>
      </c>
      <c r="BG9">
        <v>9</v>
      </c>
      <c r="BH9">
        <v>0</v>
      </c>
      <c r="BI9">
        <v>0</v>
      </c>
      <c r="BJ9">
        <v>1</v>
      </c>
      <c r="BK9">
        <v>0</v>
      </c>
      <c r="BL9">
        <v>0</v>
      </c>
    </row>
    <row r="10" spans="1:64" x14ac:dyDescent="0.25">
      <c r="A10" t="s">
        <v>71</v>
      </c>
      <c r="B10">
        <v>3196</v>
      </c>
      <c r="C10" s="5">
        <v>490.49515350093128</v>
      </c>
      <c r="D10" s="5">
        <v>153.4715749377132</v>
      </c>
      <c r="E10">
        <v>52</v>
      </c>
      <c r="F10">
        <v>54</v>
      </c>
      <c r="G10">
        <v>56</v>
      </c>
      <c r="H10">
        <v>53</v>
      </c>
      <c r="I10">
        <v>51</v>
      </c>
      <c r="J10">
        <v>50</v>
      </c>
      <c r="K10">
        <v>52</v>
      </c>
      <c r="L10">
        <v>48</v>
      </c>
      <c r="M10">
        <v>50</v>
      </c>
      <c r="N10">
        <v>54</v>
      </c>
      <c r="O10">
        <v>54</v>
      </c>
      <c r="P10">
        <v>60</v>
      </c>
      <c r="Q10">
        <v>56</v>
      </c>
      <c r="R10">
        <v>56</v>
      </c>
      <c r="S10">
        <v>51</v>
      </c>
      <c r="T10">
        <v>50</v>
      </c>
      <c r="U10">
        <v>54</v>
      </c>
      <c r="V10">
        <v>51</v>
      </c>
      <c r="W10">
        <v>56</v>
      </c>
      <c r="X10">
        <v>58</v>
      </c>
      <c r="Y10">
        <v>55</v>
      </c>
      <c r="Z10">
        <v>60</v>
      </c>
      <c r="AA10">
        <v>55</v>
      </c>
      <c r="AB10">
        <v>42</v>
      </c>
      <c r="AC10">
        <v>50</v>
      </c>
      <c r="AD10">
        <v>52</v>
      </c>
      <c r="AE10">
        <v>49</v>
      </c>
      <c r="AF10">
        <v>56</v>
      </c>
      <c r="AG10">
        <v>58</v>
      </c>
      <c r="AH10">
        <v>55</v>
      </c>
      <c r="AI10">
        <v>62</v>
      </c>
      <c r="AJ10">
        <v>50</v>
      </c>
      <c r="AK10">
        <v>49</v>
      </c>
      <c r="AL10">
        <v>44</v>
      </c>
      <c r="AM10">
        <v>55</v>
      </c>
      <c r="AN10">
        <v>53</v>
      </c>
      <c r="AO10">
        <v>58</v>
      </c>
      <c r="AP10">
        <v>53</v>
      </c>
      <c r="AQ10">
        <v>51</v>
      </c>
      <c r="AR10">
        <v>50</v>
      </c>
      <c r="AS10">
        <v>54</v>
      </c>
      <c r="AT10">
        <v>59</v>
      </c>
      <c r="AU10">
        <v>51</v>
      </c>
      <c r="AV10">
        <v>54</v>
      </c>
      <c r="AW10">
        <v>50</v>
      </c>
      <c r="AX10">
        <v>55</v>
      </c>
      <c r="AY10">
        <v>56</v>
      </c>
      <c r="AZ10">
        <v>53</v>
      </c>
      <c r="BA10">
        <v>51</v>
      </c>
      <c r="BB10">
        <v>51</v>
      </c>
      <c r="BC10">
        <v>55</v>
      </c>
      <c r="BD10">
        <v>54</v>
      </c>
      <c r="BE10">
        <v>55</v>
      </c>
      <c r="BF10">
        <v>53</v>
      </c>
      <c r="BG10">
        <v>58</v>
      </c>
      <c r="BH10">
        <v>50</v>
      </c>
      <c r="BI10">
        <v>55</v>
      </c>
      <c r="BJ10">
        <v>50</v>
      </c>
      <c r="BK10">
        <v>53</v>
      </c>
      <c r="BL10">
        <v>56</v>
      </c>
    </row>
    <row r="11" spans="1:64" x14ac:dyDescent="0.25">
      <c r="A11" t="s">
        <v>72</v>
      </c>
      <c r="B11">
        <v>2653</v>
      </c>
      <c r="C11" s="5">
        <v>454.86216050223447</v>
      </c>
      <c r="D11" s="5">
        <v>171.4520016970352</v>
      </c>
      <c r="E11">
        <v>37</v>
      </c>
      <c r="F11">
        <v>43</v>
      </c>
      <c r="G11">
        <v>40</v>
      </c>
      <c r="H11">
        <v>42</v>
      </c>
      <c r="I11">
        <v>50</v>
      </c>
      <c r="J11">
        <v>44</v>
      </c>
      <c r="K11">
        <v>48</v>
      </c>
      <c r="L11">
        <v>38</v>
      </c>
      <c r="M11">
        <v>50</v>
      </c>
      <c r="N11">
        <v>43</v>
      </c>
      <c r="O11">
        <v>48</v>
      </c>
      <c r="P11">
        <v>42</v>
      </c>
      <c r="Q11">
        <v>45</v>
      </c>
      <c r="R11">
        <v>46</v>
      </c>
      <c r="S11">
        <v>45</v>
      </c>
      <c r="T11">
        <v>45</v>
      </c>
      <c r="U11">
        <v>47</v>
      </c>
      <c r="V11">
        <v>43</v>
      </c>
      <c r="W11">
        <v>46</v>
      </c>
      <c r="X11">
        <v>47</v>
      </c>
      <c r="Y11">
        <v>40</v>
      </c>
      <c r="Z11">
        <v>45</v>
      </c>
      <c r="AA11">
        <v>47</v>
      </c>
      <c r="AB11">
        <v>45</v>
      </c>
      <c r="AC11">
        <v>45</v>
      </c>
      <c r="AD11">
        <v>42</v>
      </c>
      <c r="AE11">
        <v>47</v>
      </c>
      <c r="AF11">
        <v>42</v>
      </c>
      <c r="AG11">
        <v>42</v>
      </c>
      <c r="AH11">
        <v>49</v>
      </c>
      <c r="AI11">
        <v>41</v>
      </c>
      <c r="AJ11">
        <v>43</v>
      </c>
      <c r="AK11">
        <v>45</v>
      </c>
      <c r="AL11">
        <v>37</v>
      </c>
      <c r="AM11">
        <v>34</v>
      </c>
      <c r="AN11">
        <v>49</v>
      </c>
      <c r="AO11">
        <v>46</v>
      </c>
      <c r="AP11">
        <v>45</v>
      </c>
      <c r="AQ11">
        <v>47</v>
      </c>
      <c r="AR11">
        <v>45</v>
      </c>
      <c r="AS11">
        <v>42</v>
      </c>
      <c r="AT11">
        <v>48</v>
      </c>
      <c r="AU11">
        <v>40</v>
      </c>
      <c r="AV11">
        <v>47</v>
      </c>
      <c r="AW11">
        <v>38</v>
      </c>
      <c r="AX11">
        <v>47</v>
      </c>
      <c r="AY11">
        <v>51</v>
      </c>
      <c r="AZ11">
        <v>47</v>
      </c>
      <c r="BA11">
        <v>44</v>
      </c>
      <c r="BB11">
        <v>43</v>
      </c>
      <c r="BC11">
        <v>47</v>
      </c>
      <c r="BD11">
        <v>48</v>
      </c>
      <c r="BE11">
        <v>46</v>
      </c>
      <c r="BF11">
        <v>44</v>
      </c>
      <c r="BG11">
        <v>43</v>
      </c>
      <c r="BH11">
        <v>44</v>
      </c>
      <c r="BI11">
        <v>45</v>
      </c>
      <c r="BJ11">
        <v>39</v>
      </c>
      <c r="BK11">
        <v>42</v>
      </c>
      <c r="BL11">
        <v>43</v>
      </c>
    </row>
    <row r="12" spans="1:64" x14ac:dyDescent="0.25">
      <c r="A12" t="s">
        <v>73</v>
      </c>
      <c r="B12">
        <v>2460</v>
      </c>
      <c r="C12" s="5">
        <v>420.48780350072781</v>
      </c>
      <c r="D12" s="5">
        <v>170.93000142305999</v>
      </c>
      <c r="E12">
        <v>44</v>
      </c>
      <c r="F12">
        <v>44</v>
      </c>
      <c r="G12">
        <v>39</v>
      </c>
      <c r="H12">
        <v>29</v>
      </c>
      <c r="I12">
        <v>42</v>
      </c>
      <c r="J12">
        <v>34</v>
      </c>
      <c r="K12">
        <v>43</v>
      </c>
      <c r="L12">
        <v>41</v>
      </c>
      <c r="M12">
        <v>41</v>
      </c>
      <c r="N12">
        <v>26</v>
      </c>
      <c r="O12">
        <v>42</v>
      </c>
      <c r="P12">
        <v>22</v>
      </c>
      <c r="Q12">
        <v>34</v>
      </c>
      <c r="R12">
        <v>40</v>
      </c>
      <c r="S12">
        <v>44</v>
      </c>
      <c r="T12">
        <v>39</v>
      </c>
      <c r="U12">
        <v>46</v>
      </c>
      <c r="V12">
        <v>40</v>
      </c>
      <c r="W12">
        <v>38</v>
      </c>
      <c r="X12">
        <v>43</v>
      </c>
      <c r="Y12">
        <v>39</v>
      </c>
      <c r="Z12">
        <v>48</v>
      </c>
      <c r="AA12">
        <v>42</v>
      </c>
      <c r="AB12">
        <v>43</v>
      </c>
      <c r="AC12">
        <v>45</v>
      </c>
      <c r="AD12">
        <v>42</v>
      </c>
      <c r="AE12">
        <v>45</v>
      </c>
      <c r="AF12">
        <v>48</v>
      </c>
      <c r="AG12">
        <v>43</v>
      </c>
      <c r="AH12">
        <v>36</v>
      </c>
      <c r="AI12">
        <v>49</v>
      </c>
      <c r="AJ12">
        <v>42</v>
      </c>
      <c r="AK12">
        <v>46</v>
      </c>
      <c r="AL12">
        <v>43</v>
      </c>
      <c r="AM12">
        <v>47</v>
      </c>
      <c r="AN12">
        <v>45</v>
      </c>
      <c r="AO12">
        <v>44</v>
      </c>
      <c r="AP12">
        <v>44</v>
      </c>
      <c r="AQ12">
        <v>41</v>
      </c>
      <c r="AR12">
        <v>34</v>
      </c>
      <c r="AS12">
        <v>45</v>
      </c>
      <c r="AT12">
        <v>40</v>
      </c>
      <c r="AU12">
        <v>42</v>
      </c>
      <c r="AV12">
        <v>43</v>
      </c>
      <c r="AW12">
        <v>46</v>
      </c>
      <c r="AX12">
        <v>46</v>
      </c>
      <c r="AY12">
        <v>46</v>
      </c>
      <c r="AZ12">
        <v>41</v>
      </c>
      <c r="BA12">
        <v>47</v>
      </c>
      <c r="BB12">
        <v>39</v>
      </c>
      <c r="BC12">
        <v>39</v>
      </c>
      <c r="BD12">
        <v>41</v>
      </c>
      <c r="BE12">
        <v>37</v>
      </c>
      <c r="BF12">
        <v>39</v>
      </c>
      <c r="BG12">
        <v>51</v>
      </c>
      <c r="BH12">
        <v>42</v>
      </c>
      <c r="BI12">
        <v>34</v>
      </c>
      <c r="BJ12">
        <v>32</v>
      </c>
      <c r="BK12">
        <v>39</v>
      </c>
      <c r="BL12">
        <v>34</v>
      </c>
    </row>
    <row r="13" spans="1:64" x14ac:dyDescent="0.25">
      <c r="A13" t="s">
        <v>74</v>
      </c>
      <c r="B13">
        <v>2772</v>
      </c>
      <c r="C13" s="5">
        <v>507.17575549977482</v>
      </c>
      <c r="D13" s="5">
        <v>182.9638367603805</v>
      </c>
      <c r="E13">
        <v>47</v>
      </c>
      <c r="F13">
        <v>48</v>
      </c>
      <c r="G13">
        <v>47</v>
      </c>
      <c r="H13">
        <v>46</v>
      </c>
      <c r="I13">
        <v>50</v>
      </c>
      <c r="J13">
        <v>45</v>
      </c>
      <c r="K13">
        <v>47</v>
      </c>
      <c r="L13">
        <v>46</v>
      </c>
      <c r="M13">
        <v>43</v>
      </c>
      <c r="N13">
        <v>45</v>
      </c>
      <c r="O13">
        <v>45</v>
      </c>
      <c r="P13">
        <v>44</v>
      </c>
      <c r="Q13">
        <v>49</v>
      </c>
      <c r="R13">
        <v>48</v>
      </c>
      <c r="S13">
        <v>48</v>
      </c>
      <c r="T13">
        <v>43</v>
      </c>
      <c r="U13">
        <v>50</v>
      </c>
      <c r="V13">
        <v>47</v>
      </c>
      <c r="W13">
        <v>47</v>
      </c>
      <c r="X13">
        <v>50</v>
      </c>
      <c r="Y13">
        <v>44</v>
      </c>
      <c r="Z13">
        <v>46</v>
      </c>
      <c r="AA13">
        <v>45</v>
      </c>
      <c r="AB13">
        <v>46</v>
      </c>
      <c r="AC13">
        <v>48</v>
      </c>
      <c r="AD13">
        <v>46</v>
      </c>
      <c r="AE13">
        <v>48</v>
      </c>
      <c r="AF13">
        <v>44</v>
      </c>
      <c r="AG13">
        <v>44</v>
      </c>
      <c r="AH13">
        <v>45</v>
      </c>
      <c r="AI13">
        <v>51</v>
      </c>
      <c r="AJ13">
        <v>46</v>
      </c>
      <c r="AK13">
        <v>46</v>
      </c>
      <c r="AL13">
        <v>43</v>
      </c>
      <c r="AM13">
        <v>46</v>
      </c>
      <c r="AN13">
        <v>44</v>
      </c>
      <c r="AO13">
        <v>45</v>
      </c>
      <c r="AP13">
        <v>46</v>
      </c>
      <c r="AQ13">
        <v>47</v>
      </c>
      <c r="AR13">
        <v>44</v>
      </c>
      <c r="AS13">
        <v>45</v>
      </c>
      <c r="AT13">
        <v>46</v>
      </c>
      <c r="AU13">
        <v>49</v>
      </c>
      <c r="AV13">
        <v>50</v>
      </c>
      <c r="AW13">
        <v>45</v>
      </c>
      <c r="AX13">
        <v>47</v>
      </c>
      <c r="AY13">
        <v>50</v>
      </c>
      <c r="AZ13">
        <v>45</v>
      </c>
      <c r="BA13">
        <v>48</v>
      </c>
      <c r="BB13">
        <v>43</v>
      </c>
      <c r="BC13">
        <v>46</v>
      </c>
      <c r="BD13">
        <v>48</v>
      </c>
      <c r="BE13">
        <v>44</v>
      </c>
      <c r="BF13">
        <v>49</v>
      </c>
      <c r="BG13">
        <v>44</v>
      </c>
      <c r="BH13">
        <v>44</v>
      </c>
      <c r="BI13">
        <v>45</v>
      </c>
      <c r="BJ13">
        <v>45</v>
      </c>
      <c r="BK13">
        <v>45</v>
      </c>
      <c r="BL13">
        <v>45</v>
      </c>
    </row>
    <row r="14" spans="1:64" x14ac:dyDescent="0.25">
      <c r="A14" t="s">
        <v>75</v>
      </c>
      <c r="B14">
        <v>2531</v>
      </c>
      <c r="C14" s="5">
        <v>480.04786149965372</v>
      </c>
      <c r="D14" s="5">
        <v>189.667270446327</v>
      </c>
      <c r="E14">
        <v>44</v>
      </c>
      <c r="F14">
        <v>42</v>
      </c>
      <c r="G14">
        <v>44</v>
      </c>
      <c r="H14">
        <v>45</v>
      </c>
      <c r="I14">
        <v>44</v>
      </c>
      <c r="J14">
        <v>45</v>
      </c>
      <c r="K14">
        <v>48</v>
      </c>
      <c r="L14">
        <v>46</v>
      </c>
      <c r="M14">
        <v>44</v>
      </c>
      <c r="N14">
        <v>48</v>
      </c>
      <c r="O14">
        <v>41</v>
      </c>
      <c r="P14">
        <v>42</v>
      </c>
      <c r="Q14">
        <v>44</v>
      </c>
      <c r="R14">
        <v>41</v>
      </c>
      <c r="S14">
        <v>41</v>
      </c>
      <c r="T14">
        <v>46</v>
      </c>
      <c r="U14">
        <v>43</v>
      </c>
      <c r="V14">
        <v>24</v>
      </c>
      <c r="W14">
        <v>33</v>
      </c>
      <c r="X14">
        <v>34</v>
      </c>
      <c r="Y14">
        <v>39</v>
      </c>
      <c r="Z14">
        <v>35</v>
      </c>
      <c r="AA14">
        <v>50</v>
      </c>
      <c r="AB14">
        <v>42</v>
      </c>
      <c r="AC14">
        <v>47</v>
      </c>
      <c r="AD14">
        <v>33</v>
      </c>
      <c r="AE14">
        <v>43</v>
      </c>
      <c r="AF14">
        <v>45</v>
      </c>
      <c r="AG14">
        <v>39</v>
      </c>
      <c r="AH14">
        <v>39</v>
      </c>
      <c r="AI14">
        <v>43</v>
      </c>
      <c r="AJ14">
        <v>44</v>
      </c>
      <c r="AK14">
        <v>41</v>
      </c>
      <c r="AL14">
        <v>38</v>
      </c>
      <c r="AM14">
        <v>44</v>
      </c>
      <c r="AN14">
        <v>44</v>
      </c>
      <c r="AO14">
        <v>44</v>
      </c>
      <c r="AP14">
        <v>45</v>
      </c>
      <c r="AQ14">
        <v>44</v>
      </c>
      <c r="AR14">
        <v>40</v>
      </c>
      <c r="AS14">
        <v>34</v>
      </c>
      <c r="AT14">
        <v>45</v>
      </c>
      <c r="AU14">
        <v>40</v>
      </c>
      <c r="AV14">
        <v>44</v>
      </c>
      <c r="AW14">
        <v>46</v>
      </c>
      <c r="AX14">
        <v>35</v>
      </c>
      <c r="AY14">
        <v>45</v>
      </c>
      <c r="AZ14">
        <v>46</v>
      </c>
      <c r="BA14">
        <v>41</v>
      </c>
      <c r="BB14">
        <v>44</v>
      </c>
      <c r="BC14">
        <v>44</v>
      </c>
      <c r="BD14">
        <v>48</v>
      </c>
      <c r="BE14">
        <v>38</v>
      </c>
      <c r="BF14">
        <v>43</v>
      </c>
      <c r="BG14">
        <v>41</v>
      </c>
      <c r="BH14">
        <v>45</v>
      </c>
      <c r="BI14">
        <v>43</v>
      </c>
      <c r="BJ14">
        <v>42</v>
      </c>
      <c r="BK14">
        <v>47</v>
      </c>
      <c r="BL14">
        <v>42</v>
      </c>
    </row>
    <row r="15" spans="1:64" x14ac:dyDescent="0.25">
      <c r="A15" t="s">
        <v>76</v>
      </c>
      <c r="B15">
        <v>2915</v>
      </c>
      <c r="C15" s="5">
        <v>479.12550500052748</v>
      </c>
      <c r="D15" s="5">
        <v>164.365524871536</v>
      </c>
      <c r="E15">
        <v>51</v>
      </c>
      <c r="F15">
        <v>51</v>
      </c>
      <c r="G15">
        <v>50</v>
      </c>
      <c r="H15">
        <v>47</v>
      </c>
      <c r="I15">
        <v>55</v>
      </c>
      <c r="J15">
        <v>48</v>
      </c>
      <c r="K15">
        <v>51</v>
      </c>
      <c r="L15">
        <v>47</v>
      </c>
      <c r="M15">
        <v>51</v>
      </c>
      <c r="N15">
        <v>45</v>
      </c>
      <c r="O15">
        <v>48</v>
      </c>
      <c r="P15">
        <v>49</v>
      </c>
      <c r="Q15">
        <v>51</v>
      </c>
      <c r="R15">
        <v>47</v>
      </c>
      <c r="S15">
        <v>48</v>
      </c>
      <c r="T15">
        <v>47</v>
      </c>
      <c r="U15">
        <v>50</v>
      </c>
      <c r="V15">
        <v>43</v>
      </c>
      <c r="W15">
        <v>48</v>
      </c>
      <c r="X15">
        <v>51</v>
      </c>
      <c r="Y15">
        <v>51</v>
      </c>
      <c r="Z15">
        <v>49</v>
      </c>
      <c r="AA15">
        <v>49</v>
      </c>
      <c r="AB15">
        <v>46</v>
      </c>
      <c r="AC15">
        <v>50</v>
      </c>
      <c r="AD15">
        <v>52</v>
      </c>
      <c r="AE15">
        <v>55</v>
      </c>
      <c r="AF15">
        <v>55</v>
      </c>
      <c r="AG15">
        <v>48</v>
      </c>
      <c r="AH15">
        <v>50</v>
      </c>
      <c r="AI15">
        <v>53</v>
      </c>
      <c r="AJ15">
        <v>48</v>
      </c>
      <c r="AK15">
        <v>45</v>
      </c>
      <c r="AL15">
        <v>45</v>
      </c>
      <c r="AM15">
        <v>45</v>
      </c>
      <c r="AN15">
        <v>47</v>
      </c>
      <c r="AO15">
        <v>48</v>
      </c>
      <c r="AP15">
        <v>46</v>
      </c>
      <c r="AQ15">
        <v>43</v>
      </c>
      <c r="AR15">
        <v>47</v>
      </c>
      <c r="AS15">
        <v>45</v>
      </c>
      <c r="AT15">
        <v>47</v>
      </c>
      <c r="AU15">
        <v>47</v>
      </c>
      <c r="AV15">
        <v>48</v>
      </c>
      <c r="AW15">
        <v>47</v>
      </c>
      <c r="AX15">
        <v>44</v>
      </c>
      <c r="AY15">
        <v>50</v>
      </c>
      <c r="AZ15">
        <v>46</v>
      </c>
      <c r="BA15">
        <v>48</v>
      </c>
      <c r="BB15">
        <v>53</v>
      </c>
      <c r="BC15">
        <v>49</v>
      </c>
      <c r="BD15">
        <v>49</v>
      </c>
      <c r="BE15">
        <v>50</v>
      </c>
      <c r="BF15">
        <v>50</v>
      </c>
      <c r="BG15">
        <v>46</v>
      </c>
      <c r="BH15">
        <v>48</v>
      </c>
      <c r="BI15">
        <v>48</v>
      </c>
      <c r="BJ15">
        <v>52</v>
      </c>
      <c r="BK15">
        <v>50</v>
      </c>
      <c r="BL15">
        <v>48</v>
      </c>
    </row>
    <row r="16" spans="1:64" x14ac:dyDescent="0.25">
      <c r="A16" t="s">
        <v>77</v>
      </c>
      <c r="B16">
        <v>3028</v>
      </c>
      <c r="C16" s="5">
        <v>497.47727899777237</v>
      </c>
      <c r="D16" s="5">
        <v>164.29236426610711</v>
      </c>
      <c r="E16">
        <v>47</v>
      </c>
      <c r="F16">
        <v>49</v>
      </c>
      <c r="G16">
        <v>47</v>
      </c>
      <c r="H16">
        <v>47</v>
      </c>
      <c r="I16">
        <v>48</v>
      </c>
      <c r="J16">
        <v>45</v>
      </c>
      <c r="K16">
        <v>54</v>
      </c>
      <c r="L16">
        <v>46</v>
      </c>
      <c r="M16">
        <v>49</v>
      </c>
      <c r="N16">
        <v>44</v>
      </c>
      <c r="O16">
        <v>51</v>
      </c>
      <c r="P16">
        <v>52</v>
      </c>
      <c r="Q16">
        <v>51</v>
      </c>
      <c r="R16">
        <v>50</v>
      </c>
      <c r="S16">
        <v>53</v>
      </c>
      <c r="T16">
        <v>56</v>
      </c>
      <c r="U16">
        <v>55</v>
      </c>
      <c r="V16">
        <v>50</v>
      </c>
      <c r="W16">
        <v>53</v>
      </c>
      <c r="X16">
        <v>52</v>
      </c>
      <c r="Y16">
        <v>51</v>
      </c>
      <c r="Z16">
        <v>47</v>
      </c>
      <c r="AA16">
        <v>54</v>
      </c>
      <c r="AB16">
        <v>48</v>
      </c>
      <c r="AC16">
        <v>45</v>
      </c>
      <c r="AD16">
        <v>50</v>
      </c>
      <c r="AE16">
        <v>50</v>
      </c>
      <c r="AF16">
        <v>58</v>
      </c>
      <c r="AG16">
        <v>49</v>
      </c>
      <c r="AH16">
        <v>48</v>
      </c>
      <c r="AI16">
        <v>52</v>
      </c>
      <c r="AJ16">
        <v>58</v>
      </c>
      <c r="AK16">
        <v>48</v>
      </c>
      <c r="AL16">
        <v>49</v>
      </c>
      <c r="AM16">
        <v>55</v>
      </c>
      <c r="AN16">
        <v>57</v>
      </c>
      <c r="AO16">
        <v>54</v>
      </c>
      <c r="AP16">
        <v>51</v>
      </c>
      <c r="AQ16">
        <v>45</v>
      </c>
      <c r="AR16">
        <v>49</v>
      </c>
      <c r="AS16">
        <v>40</v>
      </c>
      <c r="AT16">
        <v>53</v>
      </c>
      <c r="AU16">
        <v>48</v>
      </c>
      <c r="AV16">
        <v>58</v>
      </c>
      <c r="AW16">
        <v>53</v>
      </c>
      <c r="AX16">
        <v>47</v>
      </c>
      <c r="AY16">
        <v>52</v>
      </c>
      <c r="AZ16">
        <v>51</v>
      </c>
      <c r="BA16">
        <v>54</v>
      </c>
      <c r="BB16">
        <v>47</v>
      </c>
      <c r="BC16">
        <v>50</v>
      </c>
      <c r="BD16">
        <v>51</v>
      </c>
      <c r="BE16">
        <v>51</v>
      </c>
      <c r="BF16">
        <v>50</v>
      </c>
      <c r="BG16">
        <v>48</v>
      </c>
      <c r="BH16">
        <v>54</v>
      </c>
      <c r="BI16">
        <v>57</v>
      </c>
      <c r="BJ16">
        <v>48</v>
      </c>
      <c r="BK16">
        <v>51</v>
      </c>
      <c r="BL16">
        <v>48</v>
      </c>
    </row>
    <row r="17" spans="1:64" x14ac:dyDescent="0.25">
      <c r="A17" t="s">
        <v>78</v>
      </c>
      <c r="B17">
        <v>797</v>
      </c>
      <c r="C17" s="5">
        <v>147.83256100199651</v>
      </c>
      <c r="D17" s="5">
        <v>185.48627478293159</v>
      </c>
      <c r="E17">
        <v>39</v>
      </c>
      <c r="F17">
        <v>45</v>
      </c>
      <c r="G17">
        <v>49</v>
      </c>
      <c r="H17">
        <v>43</v>
      </c>
      <c r="I17">
        <v>46</v>
      </c>
      <c r="J17">
        <v>46</v>
      </c>
      <c r="K17">
        <v>45</v>
      </c>
      <c r="L17">
        <v>49</v>
      </c>
      <c r="M17">
        <v>40</v>
      </c>
      <c r="N17">
        <v>45</v>
      </c>
      <c r="O17">
        <v>44</v>
      </c>
      <c r="P17">
        <v>44</v>
      </c>
      <c r="Q17">
        <v>50</v>
      </c>
      <c r="R17">
        <v>45</v>
      </c>
      <c r="S17">
        <v>43</v>
      </c>
      <c r="T17">
        <v>37</v>
      </c>
      <c r="U17">
        <v>33</v>
      </c>
      <c r="V17">
        <v>23</v>
      </c>
      <c r="W17">
        <v>27</v>
      </c>
      <c r="X17">
        <v>0</v>
      </c>
      <c r="Y17">
        <v>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 x14ac:dyDescent="0.25">
      <c r="A18" t="s">
        <v>79</v>
      </c>
      <c r="B18">
        <v>2992</v>
      </c>
      <c r="C18" s="5">
        <v>450.01304499793332</v>
      </c>
      <c r="D18" s="5">
        <v>150.40542947791889</v>
      </c>
      <c r="E18">
        <v>55</v>
      </c>
      <c r="F18">
        <v>49</v>
      </c>
      <c r="G18">
        <v>50</v>
      </c>
      <c r="H18">
        <v>52</v>
      </c>
      <c r="I18">
        <v>52</v>
      </c>
      <c r="J18">
        <v>46</v>
      </c>
      <c r="K18">
        <v>47</v>
      </c>
      <c r="L18">
        <v>48</v>
      </c>
      <c r="M18">
        <v>52</v>
      </c>
      <c r="N18">
        <v>51</v>
      </c>
      <c r="O18">
        <v>49</v>
      </c>
      <c r="P18">
        <v>45</v>
      </c>
      <c r="Q18">
        <v>52</v>
      </c>
      <c r="R18">
        <v>46</v>
      </c>
      <c r="S18">
        <v>53</v>
      </c>
      <c r="T18">
        <v>51</v>
      </c>
      <c r="U18">
        <v>54</v>
      </c>
      <c r="V18">
        <v>47</v>
      </c>
      <c r="W18">
        <v>45</v>
      </c>
      <c r="X18">
        <v>59</v>
      </c>
      <c r="Y18">
        <v>52</v>
      </c>
      <c r="Z18">
        <v>58</v>
      </c>
      <c r="AA18">
        <v>51</v>
      </c>
      <c r="AB18">
        <v>49</v>
      </c>
      <c r="AC18">
        <v>47</v>
      </c>
      <c r="AD18">
        <v>53</v>
      </c>
      <c r="AE18">
        <v>54</v>
      </c>
      <c r="AF18">
        <v>51</v>
      </c>
      <c r="AG18">
        <v>50</v>
      </c>
      <c r="AH18">
        <v>41</v>
      </c>
      <c r="AI18">
        <v>46</v>
      </c>
      <c r="AJ18">
        <v>49</v>
      </c>
      <c r="AK18">
        <v>47</v>
      </c>
      <c r="AL18">
        <v>52</v>
      </c>
      <c r="AM18">
        <v>50</v>
      </c>
      <c r="AN18">
        <v>47</v>
      </c>
      <c r="AO18">
        <v>46</v>
      </c>
      <c r="AP18">
        <v>50</v>
      </c>
      <c r="AQ18">
        <v>50</v>
      </c>
      <c r="AR18">
        <v>52</v>
      </c>
      <c r="AS18">
        <v>47</v>
      </c>
      <c r="AT18">
        <v>48</v>
      </c>
      <c r="AU18">
        <v>50</v>
      </c>
      <c r="AV18">
        <v>47</v>
      </c>
      <c r="AW18">
        <v>52</v>
      </c>
      <c r="AX18">
        <v>53</v>
      </c>
      <c r="AY18">
        <v>50</v>
      </c>
      <c r="AZ18">
        <v>50</v>
      </c>
      <c r="BA18">
        <v>45</v>
      </c>
      <c r="BB18">
        <v>43</v>
      </c>
      <c r="BC18">
        <v>50</v>
      </c>
      <c r="BD18">
        <v>49</v>
      </c>
      <c r="BE18">
        <v>51</v>
      </c>
      <c r="BF18">
        <v>52</v>
      </c>
      <c r="BG18">
        <v>55</v>
      </c>
      <c r="BH18">
        <v>51</v>
      </c>
      <c r="BI18">
        <v>49</v>
      </c>
      <c r="BJ18">
        <v>46</v>
      </c>
      <c r="BK18">
        <v>54</v>
      </c>
      <c r="BL18">
        <v>52</v>
      </c>
    </row>
    <row r="19" spans="1:64" x14ac:dyDescent="0.25">
      <c r="A19" t="s">
        <v>80</v>
      </c>
      <c r="B19">
        <v>1098</v>
      </c>
      <c r="C19" s="5">
        <v>193.899808497983</v>
      </c>
      <c r="D19" s="5">
        <v>176.5936325118243</v>
      </c>
      <c r="E19">
        <v>29</v>
      </c>
      <c r="F19">
        <v>45</v>
      </c>
      <c r="G19">
        <v>43</v>
      </c>
      <c r="H19">
        <v>43</v>
      </c>
      <c r="I19">
        <v>37</v>
      </c>
      <c r="J19">
        <v>36</v>
      </c>
      <c r="K19">
        <v>13</v>
      </c>
      <c r="L19">
        <v>8</v>
      </c>
      <c r="M19">
        <v>18</v>
      </c>
      <c r="N19">
        <v>5</v>
      </c>
      <c r="O19">
        <v>7</v>
      </c>
      <c r="P19">
        <v>13</v>
      </c>
      <c r="Q19">
        <v>7</v>
      </c>
      <c r="R19">
        <v>11</v>
      </c>
      <c r="S19">
        <v>17</v>
      </c>
      <c r="T19">
        <v>7</v>
      </c>
      <c r="U19">
        <v>2</v>
      </c>
      <c r="V19">
        <v>7</v>
      </c>
      <c r="W19">
        <v>3</v>
      </c>
      <c r="X19">
        <v>38</v>
      </c>
      <c r="Y19">
        <v>36</v>
      </c>
      <c r="Z19">
        <v>14</v>
      </c>
      <c r="AA19">
        <v>2</v>
      </c>
      <c r="AB19">
        <v>26</v>
      </c>
      <c r="AC19">
        <v>4</v>
      </c>
      <c r="AD19">
        <v>4</v>
      </c>
      <c r="AE19">
        <v>6</v>
      </c>
      <c r="AF19">
        <v>1</v>
      </c>
      <c r="AG19">
        <v>0</v>
      </c>
      <c r="AH19">
        <v>0</v>
      </c>
      <c r="AI19">
        <v>3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14</v>
      </c>
      <c r="AT19">
        <v>7</v>
      </c>
      <c r="AU19">
        <v>0</v>
      </c>
      <c r="AV19">
        <v>11</v>
      </c>
      <c r="AW19">
        <v>1</v>
      </c>
      <c r="AX19">
        <v>15</v>
      </c>
      <c r="AY19">
        <v>13</v>
      </c>
      <c r="AZ19">
        <v>2</v>
      </c>
      <c r="BA19">
        <v>24</v>
      </c>
      <c r="BB19">
        <v>47</v>
      </c>
      <c r="BC19">
        <v>47</v>
      </c>
      <c r="BD19">
        <v>50</v>
      </c>
      <c r="BE19">
        <v>46</v>
      </c>
      <c r="BF19">
        <v>50</v>
      </c>
      <c r="BG19">
        <v>47</v>
      </c>
      <c r="BH19">
        <v>50</v>
      </c>
      <c r="BI19">
        <v>44</v>
      </c>
      <c r="BJ19">
        <v>45</v>
      </c>
      <c r="BK19">
        <v>49</v>
      </c>
      <c r="BL19">
        <v>49</v>
      </c>
    </row>
    <row r="20" spans="1:64" x14ac:dyDescent="0.25">
      <c r="A20" t="s">
        <v>81</v>
      </c>
      <c r="B20">
        <v>2826</v>
      </c>
      <c r="C20" s="5">
        <v>460.89127300085971</v>
      </c>
      <c r="D20" s="5">
        <v>163.08962243484061</v>
      </c>
      <c r="E20">
        <v>47</v>
      </c>
      <c r="F20">
        <v>46</v>
      </c>
      <c r="G20">
        <v>45</v>
      </c>
      <c r="H20">
        <v>45</v>
      </c>
      <c r="I20">
        <v>44</v>
      </c>
      <c r="J20">
        <v>46</v>
      </c>
      <c r="K20">
        <v>44</v>
      </c>
      <c r="L20">
        <v>47</v>
      </c>
      <c r="M20">
        <v>49</v>
      </c>
      <c r="N20">
        <v>40</v>
      </c>
      <c r="O20">
        <v>45</v>
      </c>
      <c r="P20">
        <v>47</v>
      </c>
      <c r="Q20">
        <v>52</v>
      </c>
      <c r="R20">
        <v>45</v>
      </c>
      <c r="S20">
        <v>46</v>
      </c>
      <c r="T20">
        <v>42</v>
      </c>
      <c r="U20">
        <v>45</v>
      </c>
      <c r="V20">
        <v>51</v>
      </c>
      <c r="W20">
        <v>51</v>
      </c>
      <c r="X20">
        <v>45</v>
      </c>
      <c r="Y20">
        <v>41</v>
      </c>
      <c r="Z20">
        <v>50</v>
      </c>
      <c r="AA20">
        <v>48</v>
      </c>
      <c r="AB20">
        <v>48</v>
      </c>
      <c r="AC20">
        <v>48</v>
      </c>
      <c r="AD20">
        <v>49</v>
      </c>
      <c r="AE20">
        <v>48</v>
      </c>
      <c r="AF20">
        <v>48</v>
      </c>
      <c r="AG20">
        <v>48</v>
      </c>
      <c r="AH20">
        <v>55</v>
      </c>
      <c r="AI20">
        <v>47</v>
      </c>
      <c r="AJ20">
        <v>52</v>
      </c>
      <c r="AK20">
        <v>51</v>
      </c>
      <c r="AL20">
        <v>44</v>
      </c>
      <c r="AM20">
        <v>47</v>
      </c>
      <c r="AN20">
        <v>51</v>
      </c>
      <c r="AO20">
        <v>49</v>
      </c>
      <c r="AP20">
        <v>41</v>
      </c>
      <c r="AQ20">
        <v>52</v>
      </c>
      <c r="AR20">
        <v>49</v>
      </c>
      <c r="AS20">
        <v>45</v>
      </c>
      <c r="AT20">
        <v>45</v>
      </c>
      <c r="AU20">
        <v>48</v>
      </c>
      <c r="AV20">
        <v>52</v>
      </c>
      <c r="AW20">
        <v>42</v>
      </c>
      <c r="AX20">
        <v>50</v>
      </c>
      <c r="AY20">
        <v>47</v>
      </c>
      <c r="AZ20">
        <v>51</v>
      </c>
      <c r="BA20">
        <v>54</v>
      </c>
      <c r="BB20">
        <v>44</v>
      </c>
      <c r="BC20">
        <v>47</v>
      </c>
      <c r="BD20">
        <v>45</v>
      </c>
      <c r="BE20">
        <v>48</v>
      </c>
      <c r="BF20">
        <v>40</v>
      </c>
      <c r="BG20">
        <v>50</v>
      </c>
      <c r="BH20">
        <v>44</v>
      </c>
      <c r="BI20">
        <v>43</v>
      </c>
      <c r="BJ20">
        <v>46</v>
      </c>
      <c r="BK20">
        <v>48</v>
      </c>
      <c r="BL20">
        <v>49</v>
      </c>
    </row>
    <row r="21" spans="1:64" x14ac:dyDescent="0.25">
      <c r="A21" t="s">
        <v>82</v>
      </c>
      <c r="B21">
        <v>2553</v>
      </c>
      <c r="C21" s="5">
        <v>494.65721949585708</v>
      </c>
      <c r="D21" s="5">
        <v>193.75527594824021</v>
      </c>
      <c r="E21">
        <v>42</v>
      </c>
      <c r="F21">
        <v>40</v>
      </c>
      <c r="G21">
        <v>39</v>
      </c>
      <c r="H21">
        <v>40</v>
      </c>
      <c r="I21">
        <v>43</v>
      </c>
      <c r="J21">
        <v>38</v>
      </c>
      <c r="K21">
        <v>47</v>
      </c>
      <c r="L21">
        <v>42</v>
      </c>
      <c r="M21">
        <v>42</v>
      </c>
      <c r="N21">
        <v>43</v>
      </c>
      <c r="O21">
        <v>46</v>
      </c>
      <c r="P21">
        <v>40</v>
      </c>
      <c r="Q21">
        <v>43</v>
      </c>
      <c r="R21">
        <v>48</v>
      </c>
      <c r="S21">
        <v>41</v>
      </c>
      <c r="T21">
        <v>41</v>
      </c>
      <c r="U21">
        <v>48</v>
      </c>
      <c r="V21">
        <v>43</v>
      </c>
      <c r="W21">
        <v>42</v>
      </c>
      <c r="X21">
        <v>48</v>
      </c>
      <c r="Y21">
        <v>42</v>
      </c>
      <c r="Z21">
        <v>44</v>
      </c>
      <c r="AA21">
        <v>43</v>
      </c>
      <c r="AB21">
        <v>42</v>
      </c>
      <c r="AC21">
        <v>45</v>
      </c>
      <c r="AD21">
        <v>41</v>
      </c>
      <c r="AE21">
        <v>41</v>
      </c>
      <c r="AF21">
        <v>43</v>
      </c>
      <c r="AG21">
        <v>42</v>
      </c>
      <c r="AH21">
        <v>43</v>
      </c>
      <c r="AI21">
        <v>43</v>
      </c>
      <c r="AJ21">
        <v>45</v>
      </c>
      <c r="AK21">
        <v>41</v>
      </c>
      <c r="AL21">
        <v>41</v>
      </c>
      <c r="AM21">
        <v>40</v>
      </c>
      <c r="AN21">
        <v>39</v>
      </c>
      <c r="AO21">
        <v>46</v>
      </c>
      <c r="AP21">
        <v>41</v>
      </c>
      <c r="AQ21">
        <v>46</v>
      </c>
      <c r="AR21">
        <v>44</v>
      </c>
      <c r="AS21">
        <v>41</v>
      </c>
      <c r="AT21">
        <v>42</v>
      </c>
      <c r="AU21">
        <v>43</v>
      </c>
      <c r="AV21">
        <v>44</v>
      </c>
      <c r="AW21">
        <v>44</v>
      </c>
      <c r="AX21">
        <v>41</v>
      </c>
      <c r="AY21">
        <v>39</v>
      </c>
      <c r="AZ21">
        <v>40</v>
      </c>
      <c r="BA21">
        <v>42</v>
      </c>
      <c r="BB21">
        <v>43</v>
      </c>
      <c r="BC21">
        <v>39</v>
      </c>
      <c r="BD21">
        <v>50</v>
      </c>
      <c r="BE21">
        <v>39</v>
      </c>
      <c r="BF21">
        <v>42</v>
      </c>
      <c r="BG21">
        <v>44</v>
      </c>
      <c r="BH21">
        <v>40</v>
      </c>
      <c r="BI21">
        <v>47</v>
      </c>
      <c r="BJ21">
        <v>40</v>
      </c>
      <c r="BK21">
        <v>41</v>
      </c>
      <c r="BL21">
        <v>44</v>
      </c>
    </row>
    <row r="22" spans="1:64" x14ac:dyDescent="0.25">
      <c r="A22" t="s">
        <v>83</v>
      </c>
      <c r="B22">
        <v>2665</v>
      </c>
      <c r="C22" s="5">
        <v>463.66106500000018</v>
      </c>
      <c r="D22" s="5">
        <v>173.98163789868681</v>
      </c>
      <c r="E22">
        <v>43</v>
      </c>
      <c r="F22">
        <v>39</v>
      </c>
      <c r="G22">
        <v>45</v>
      </c>
      <c r="H22">
        <v>47</v>
      </c>
      <c r="I22">
        <v>41</v>
      </c>
      <c r="J22">
        <v>37</v>
      </c>
      <c r="K22">
        <v>48</v>
      </c>
      <c r="L22">
        <v>46</v>
      </c>
      <c r="M22">
        <v>44</v>
      </c>
      <c r="N22">
        <v>42</v>
      </c>
      <c r="O22">
        <v>47</v>
      </c>
      <c r="P22">
        <v>41</v>
      </c>
      <c r="Q22">
        <v>48</v>
      </c>
      <c r="R22">
        <v>44</v>
      </c>
      <c r="S22">
        <v>39</v>
      </c>
      <c r="T22">
        <v>42</v>
      </c>
      <c r="U22">
        <v>50</v>
      </c>
      <c r="V22">
        <v>44</v>
      </c>
      <c r="W22">
        <v>49</v>
      </c>
      <c r="X22">
        <v>50</v>
      </c>
      <c r="Y22">
        <v>46</v>
      </c>
      <c r="Z22">
        <v>48</v>
      </c>
      <c r="AA22">
        <v>47</v>
      </c>
      <c r="AB22">
        <v>42</v>
      </c>
      <c r="AC22">
        <v>44</v>
      </c>
      <c r="AD22">
        <v>47</v>
      </c>
      <c r="AE22">
        <v>37</v>
      </c>
      <c r="AF22">
        <v>45</v>
      </c>
      <c r="AG22">
        <v>45</v>
      </c>
      <c r="AH22">
        <v>44</v>
      </c>
      <c r="AI22">
        <v>43</v>
      </c>
      <c r="AJ22">
        <v>41</v>
      </c>
      <c r="AK22">
        <v>42</v>
      </c>
      <c r="AL22">
        <v>46</v>
      </c>
      <c r="AM22">
        <v>42</v>
      </c>
      <c r="AN22">
        <v>42</v>
      </c>
      <c r="AO22">
        <v>39</v>
      </c>
      <c r="AP22">
        <v>43</v>
      </c>
      <c r="AQ22">
        <v>47</v>
      </c>
      <c r="AR22">
        <v>47</v>
      </c>
      <c r="AS22">
        <v>44</v>
      </c>
      <c r="AT22">
        <v>43</v>
      </c>
      <c r="AU22">
        <v>40</v>
      </c>
      <c r="AV22">
        <v>39</v>
      </c>
      <c r="AW22">
        <v>46</v>
      </c>
      <c r="AX22">
        <v>48</v>
      </c>
      <c r="AY22">
        <v>45</v>
      </c>
      <c r="AZ22">
        <v>44</v>
      </c>
      <c r="BA22">
        <v>51</v>
      </c>
      <c r="BB22">
        <v>48</v>
      </c>
      <c r="BC22">
        <v>42</v>
      </c>
      <c r="BD22">
        <v>53</v>
      </c>
      <c r="BE22">
        <v>48</v>
      </c>
      <c r="BF22">
        <v>44</v>
      </c>
      <c r="BG22">
        <v>48</v>
      </c>
      <c r="BH22">
        <v>35</v>
      </c>
      <c r="BI22">
        <v>50</v>
      </c>
      <c r="BJ22">
        <v>45</v>
      </c>
      <c r="BK22">
        <v>47</v>
      </c>
      <c r="BL22">
        <v>42</v>
      </c>
    </row>
    <row r="23" spans="1:64" x14ac:dyDescent="0.25">
      <c r="A23" t="s">
        <v>84</v>
      </c>
      <c r="B23">
        <v>2583</v>
      </c>
      <c r="C23" s="5">
        <v>414.00132099968317</v>
      </c>
      <c r="D23" s="5">
        <v>160.27925706530519</v>
      </c>
      <c r="E23">
        <v>43</v>
      </c>
      <c r="F23">
        <v>46</v>
      </c>
      <c r="G23">
        <v>30</v>
      </c>
      <c r="H23">
        <v>48</v>
      </c>
      <c r="I23">
        <v>37</v>
      </c>
      <c r="J23">
        <v>34</v>
      </c>
      <c r="K23">
        <v>49</v>
      </c>
      <c r="L23">
        <v>50</v>
      </c>
      <c r="M23">
        <v>44</v>
      </c>
      <c r="N23">
        <v>40</v>
      </c>
      <c r="O23">
        <v>53</v>
      </c>
      <c r="P23">
        <v>44</v>
      </c>
      <c r="Q23">
        <v>44</v>
      </c>
      <c r="R23">
        <v>35</v>
      </c>
      <c r="S23">
        <v>46</v>
      </c>
      <c r="T23">
        <v>43</v>
      </c>
      <c r="U23">
        <v>49</v>
      </c>
      <c r="V23">
        <v>39</v>
      </c>
      <c r="W23">
        <v>48</v>
      </c>
      <c r="X23">
        <v>54</v>
      </c>
      <c r="Y23">
        <v>42</v>
      </c>
      <c r="Z23">
        <v>39</v>
      </c>
      <c r="AA23">
        <v>48</v>
      </c>
      <c r="AB23">
        <v>37</v>
      </c>
      <c r="AC23">
        <v>51</v>
      </c>
      <c r="AD23">
        <v>36</v>
      </c>
      <c r="AE23">
        <v>20</v>
      </c>
      <c r="AF23">
        <v>36</v>
      </c>
      <c r="AG23">
        <v>37</v>
      </c>
      <c r="AH23">
        <v>48</v>
      </c>
      <c r="AI23">
        <v>51</v>
      </c>
      <c r="AJ23">
        <v>47</v>
      </c>
      <c r="AK23">
        <v>37</v>
      </c>
      <c r="AL23">
        <v>40</v>
      </c>
      <c r="AM23">
        <v>37</v>
      </c>
      <c r="AN23">
        <v>48</v>
      </c>
      <c r="AO23">
        <v>38</v>
      </c>
      <c r="AP23">
        <v>41</v>
      </c>
      <c r="AQ23">
        <v>37</v>
      </c>
      <c r="AR23">
        <v>48</v>
      </c>
      <c r="AS23">
        <v>42</v>
      </c>
      <c r="AT23">
        <v>41</v>
      </c>
      <c r="AU23">
        <v>52</v>
      </c>
      <c r="AV23">
        <v>50</v>
      </c>
      <c r="AW23">
        <v>44</v>
      </c>
      <c r="AX23">
        <v>51</v>
      </c>
      <c r="AY23">
        <v>45</v>
      </c>
      <c r="AZ23">
        <v>46</v>
      </c>
      <c r="BA23">
        <v>32</v>
      </c>
      <c r="BB23">
        <v>47</v>
      </c>
      <c r="BC23">
        <v>41</v>
      </c>
      <c r="BD23">
        <v>49</v>
      </c>
      <c r="BE23">
        <v>35</v>
      </c>
      <c r="BF23">
        <v>50</v>
      </c>
      <c r="BG23">
        <v>45</v>
      </c>
      <c r="BH23">
        <v>44</v>
      </c>
      <c r="BI23">
        <v>53</v>
      </c>
      <c r="BJ23">
        <v>39</v>
      </c>
      <c r="BK23">
        <v>48</v>
      </c>
      <c r="BL23">
        <v>35</v>
      </c>
    </row>
    <row r="24" spans="1:64" x14ac:dyDescent="0.25">
      <c r="A24" t="s">
        <v>85</v>
      </c>
      <c r="B24">
        <v>2920</v>
      </c>
      <c r="C24" s="5">
        <v>480.4335700024385</v>
      </c>
      <c r="D24" s="5">
        <v>164.53204452138311</v>
      </c>
      <c r="E24">
        <v>48</v>
      </c>
      <c r="F24">
        <v>56</v>
      </c>
      <c r="G24">
        <v>48</v>
      </c>
      <c r="H24">
        <v>50</v>
      </c>
      <c r="I24">
        <v>51</v>
      </c>
      <c r="J24">
        <v>46</v>
      </c>
      <c r="K24">
        <v>43</v>
      </c>
      <c r="L24">
        <v>47</v>
      </c>
      <c r="M24">
        <v>49</v>
      </c>
      <c r="N24">
        <v>47</v>
      </c>
      <c r="O24">
        <v>51</v>
      </c>
      <c r="P24">
        <v>47</v>
      </c>
      <c r="Q24">
        <v>51</v>
      </c>
      <c r="R24">
        <v>48</v>
      </c>
      <c r="S24">
        <v>44</v>
      </c>
      <c r="T24">
        <v>52</v>
      </c>
      <c r="U24">
        <v>50</v>
      </c>
      <c r="V24">
        <v>45</v>
      </c>
      <c r="W24">
        <v>51</v>
      </c>
      <c r="X24">
        <v>48</v>
      </c>
      <c r="Y24">
        <v>49</v>
      </c>
      <c r="Z24">
        <v>52</v>
      </c>
      <c r="AA24">
        <v>47</v>
      </c>
      <c r="AB24">
        <v>51</v>
      </c>
      <c r="AC24">
        <v>48</v>
      </c>
      <c r="AD24">
        <v>48</v>
      </c>
      <c r="AE24">
        <v>44</v>
      </c>
      <c r="AF24">
        <v>48</v>
      </c>
      <c r="AG24">
        <v>46</v>
      </c>
      <c r="AH24">
        <v>46</v>
      </c>
      <c r="AI24">
        <v>54</v>
      </c>
      <c r="AJ24">
        <v>52</v>
      </c>
      <c r="AK24">
        <v>53</v>
      </c>
      <c r="AL24">
        <v>42</v>
      </c>
      <c r="AM24">
        <v>50</v>
      </c>
      <c r="AN24">
        <v>51</v>
      </c>
      <c r="AO24">
        <v>53</v>
      </c>
      <c r="AP24">
        <v>50</v>
      </c>
      <c r="AQ24">
        <v>51</v>
      </c>
      <c r="AR24">
        <v>48</v>
      </c>
      <c r="AS24">
        <v>44</v>
      </c>
      <c r="AT24">
        <v>46</v>
      </c>
      <c r="AU24">
        <v>47</v>
      </c>
      <c r="AV24">
        <v>57</v>
      </c>
      <c r="AW24">
        <v>47</v>
      </c>
      <c r="AX24">
        <v>44</v>
      </c>
      <c r="AY24">
        <v>49</v>
      </c>
      <c r="AZ24">
        <v>49</v>
      </c>
      <c r="BA24">
        <v>45</v>
      </c>
      <c r="BB24">
        <v>48</v>
      </c>
      <c r="BC24">
        <v>50</v>
      </c>
      <c r="BD24">
        <v>52</v>
      </c>
      <c r="BE24">
        <v>43</v>
      </c>
      <c r="BF24">
        <v>49</v>
      </c>
      <c r="BG24">
        <v>56</v>
      </c>
      <c r="BH24">
        <v>50</v>
      </c>
      <c r="BI24">
        <v>48</v>
      </c>
      <c r="BJ24">
        <v>46</v>
      </c>
      <c r="BK24">
        <v>49</v>
      </c>
      <c r="BL24">
        <v>46</v>
      </c>
    </row>
    <row r="25" spans="1:64" x14ac:dyDescent="0.25">
      <c r="A25" t="s">
        <v>86</v>
      </c>
      <c r="B25">
        <v>2759</v>
      </c>
      <c r="C25" s="5">
        <v>437.38968900090549</v>
      </c>
      <c r="D25" s="5">
        <v>158.53196411776199</v>
      </c>
      <c r="E25">
        <v>43</v>
      </c>
      <c r="F25">
        <v>40</v>
      </c>
      <c r="G25">
        <v>45</v>
      </c>
      <c r="H25">
        <v>39</v>
      </c>
      <c r="I25">
        <v>45</v>
      </c>
      <c r="J25">
        <v>37</v>
      </c>
      <c r="K25">
        <v>48</v>
      </c>
      <c r="L25">
        <v>49</v>
      </c>
      <c r="M25">
        <v>47</v>
      </c>
      <c r="N25">
        <v>45</v>
      </c>
      <c r="O25">
        <v>49</v>
      </c>
      <c r="P25">
        <v>44</v>
      </c>
      <c r="Q25">
        <v>48</v>
      </c>
      <c r="R25">
        <v>41</v>
      </c>
      <c r="S25">
        <v>53</v>
      </c>
      <c r="T25">
        <v>48</v>
      </c>
      <c r="U25">
        <v>48</v>
      </c>
      <c r="V25">
        <v>40</v>
      </c>
      <c r="W25">
        <v>47</v>
      </c>
      <c r="X25">
        <v>44</v>
      </c>
      <c r="Y25">
        <v>42</v>
      </c>
      <c r="Z25">
        <v>42</v>
      </c>
      <c r="AA25">
        <v>43</v>
      </c>
      <c r="AB25">
        <v>59</v>
      </c>
      <c r="AC25">
        <v>40</v>
      </c>
      <c r="AD25">
        <v>49</v>
      </c>
      <c r="AE25">
        <v>51</v>
      </c>
      <c r="AF25">
        <v>55</v>
      </c>
      <c r="AG25">
        <v>43</v>
      </c>
      <c r="AH25">
        <v>52</v>
      </c>
      <c r="AI25">
        <v>53</v>
      </c>
      <c r="AJ25">
        <v>51</v>
      </c>
      <c r="AK25">
        <v>45</v>
      </c>
      <c r="AL25">
        <v>39</v>
      </c>
      <c r="AM25">
        <v>47</v>
      </c>
      <c r="AN25">
        <v>46</v>
      </c>
      <c r="AO25">
        <v>54</v>
      </c>
      <c r="AP25">
        <v>38</v>
      </c>
      <c r="AQ25">
        <v>35</v>
      </c>
      <c r="AR25">
        <v>51</v>
      </c>
      <c r="AS25">
        <v>43</v>
      </c>
      <c r="AT25">
        <v>39</v>
      </c>
      <c r="AU25">
        <v>45</v>
      </c>
      <c r="AV25">
        <v>54</v>
      </c>
      <c r="AW25">
        <v>47</v>
      </c>
      <c r="AX25">
        <v>46</v>
      </c>
      <c r="AY25">
        <v>48</v>
      </c>
      <c r="AZ25">
        <v>42</v>
      </c>
      <c r="BA25">
        <v>44</v>
      </c>
      <c r="BB25">
        <v>48</v>
      </c>
      <c r="BC25">
        <v>44</v>
      </c>
      <c r="BD25">
        <v>44</v>
      </c>
      <c r="BE25">
        <v>46</v>
      </c>
      <c r="BF25">
        <v>48</v>
      </c>
      <c r="BG25">
        <v>47</v>
      </c>
      <c r="BH25">
        <v>47</v>
      </c>
      <c r="BI25">
        <v>46</v>
      </c>
      <c r="BJ25">
        <v>49</v>
      </c>
      <c r="BK25">
        <v>48</v>
      </c>
      <c r="BL25">
        <v>49</v>
      </c>
    </row>
    <row r="26" spans="1:64" x14ac:dyDescent="0.25">
      <c r="A26" t="s">
        <v>87</v>
      </c>
      <c r="B26">
        <v>2853</v>
      </c>
      <c r="C26" s="5">
        <v>485.70664299922652</v>
      </c>
      <c r="D26" s="5">
        <v>170.24417910943791</v>
      </c>
      <c r="E26">
        <v>44</v>
      </c>
      <c r="F26">
        <v>38</v>
      </c>
      <c r="G26">
        <v>53</v>
      </c>
      <c r="H26">
        <v>47</v>
      </c>
      <c r="I26">
        <v>48</v>
      </c>
      <c r="J26">
        <v>50</v>
      </c>
      <c r="K26">
        <v>49</v>
      </c>
      <c r="L26">
        <v>45</v>
      </c>
      <c r="M26">
        <v>48</v>
      </c>
      <c r="N26">
        <v>47</v>
      </c>
      <c r="O26">
        <v>46</v>
      </c>
      <c r="P26">
        <v>50</v>
      </c>
      <c r="Q26">
        <v>56</v>
      </c>
      <c r="R26">
        <v>44</v>
      </c>
      <c r="S26">
        <v>43</v>
      </c>
      <c r="T26">
        <v>46</v>
      </c>
      <c r="U26">
        <v>47</v>
      </c>
      <c r="V26">
        <v>51</v>
      </c>
      <c r="W26">
        <v>48</v>
      </c>
      <c r="X26">
        <v>48</v>
      </c>
      <c r="Y26">
        <v>45</v>
      </c>
      <c r="Z26">
        <v>42</v>
      </c>
      <c r="AA26">
        <v>41</v>
      </c>
      <c r="AB26">
        <v>41</v>
      </c>
      <c r="AC26">
        <v>52</v>
      </c>
      <c r="AD26">
        <v>45</v>
      </c>
      <c r="AE26">
        <v>44</v>
      </c>
      <c r="AF26">
        <v>40</v>
      </c>
      <c r="AG26">
        <v>41</v>
      </c>
      <c r="AH26">
        <v>45</v>
      </c>
      <c r="AI26">
        <v>47</v>
      </c>
      <c r="AJ26">
        <v>41</v>
      </c>
      <c r="AK26">
        <v>49</v>
      </c>
      <c r="AL26">
        <v>44</v>
      </c>
      <c r="AM26">
        <v>50</v>
      </c>
      <c r="AN26">
        <v>46</v>
      </c>
      <c r="AO26">
        <v>54</v>
      </c>
      <c r="AP26">
        <v>46</v>
      </c>
      <c r="AQ26">
        <v>48</v>
      </c>
      <c r="AR26">
        <v>51</v>
      </c>
      <c r="AS26">
        <v>47</v>
      </c>
      <c r="AT26">
        <v>51</v>
      </c>
      <c r="AU26">
        <v>44</v>
      </c>
      <c r="AV26">
        <v>56</v>
      </c>
      <c r="AW26">
        <v>48</v>
      </c>
      <c r="AX26">
        <v>44</v>
      </c>
      <c r="AY26">
        <v>54</v>
      </c>
      <c r="AZ26">
        <v>53</v>
      </c>
      <c r="BA26">
        <v>50</v>
      </c>
      <c r="BB26">
        <v>46</v>
      </c>
      <c r="BC26">
        <v>50</v>
      </c>
      <c r="BD26">
        <v>55</v>
      </c>
      <c r="BE26">
        <v>46</v>
      </c>
      <c r="BF26">
        <v>50</v>
      </c>
      <c r="BG26">
        <v>50</v>
      </c>
      <c r="BH26">
        <v>43</v>
      </c>
      <c r="BI26">
        <v>52</v>
      </c>
      <c r="BJ26">
        <v>49</v>
      </c>
      <c r="BK26">
        <v>53</v>
      </c>
      <c r="BL26">
        <v>52</v>
      </c>
    </row>
    <row r="27" spans="1:64" x14ac:dyDescent="0.25">
      <c r="A27" t="s">
        <v>88</v>
      </c>
      <c r="B27">
        <v>2734</v>
      </c>
      <c r="C27" s="5">
        <v>390.13522749952972</v>
      </c>
      <c r="D27" s="5">
        <v>142.69759601299549</v>
      </c>
      <c r="E27">
        <v>42</v>
      </c>
      <c r="F27">
        <v>49</v>
      </c>
      <c r="G27">
        <v>43</v>
      </c>
      <c r="H27">
        <v>45</v>
      </c>
      <c r="I27">
        <v>46</v>
      </c>
      <c r="J27">
        <v>40</v>
      </c>
      <c r="K27">
        <v>48</v>
      </c>
      <c r="L27">
        <v>38</v>
      </c>
      <c r="M27">
        <v>44</v>
      </c>
      <c r="N27">
        <v>52</v>
      </c>
      <c r="O27">
        <v>47</v>
      </c>
      <c r="P27">
        <v>48</v>
      </c>
      <c r="Q27">
        <v>54</v>
      </c>
      <c r="R27">
        <v>45</v>
      </c>
      <c r="S27">
        <v>47</v>
      </c>
      <c r="T27">
        <v>43</v>
      </c>
      <c r="U27">
        <v>46</v>
      </c>
      <c r="V27">
        <v>42</v>
      </c>
      <c r="W27">
        <v>44</v>
      </c>
      <c r="X27">
        <v>53</v>
      </c>
      <c r="Y27">
        <v>40</v>
      </c>
      <c r="Z27">
        <v>46</v>
      </c>
      <c r="AA27">
        <v>56</v>
      </c>
      <c r="AB27">
        <v>45</v>
      </c>
      <c r="AC27">
        <v>50</v>
      </c>
      <c r="AD27">
        <v>37</v>
      </c>
      <c r="AE27">
        <v>50</v>
      </c>
      <c r="AF27">
        <v>48</v>
      </c>
      <c r="AG27">
        <v>43</v>
      </c>
      <c r="AH27">
        <v>44</v>
      </c>
      <c r="AI27">
        <v>43</v>
      </c>
      <c r="AJ27">
        <v>44</v>
      </c>
      <c r="AK27">
        <v>46</v>
      </c>
      <c r="AL27">
        <v>45</v>
      </c>
      <c r="AM27">
        <v>55</v>
      </c>
      <c r="AN27">
        <v>39</v>
      </c>
      <c r="AO27">
        <v>46</v>
      </c>
      <c r="AP27">
        <v>49</v>
      </c>
      <c r="AQ27">
        <v>53</v>
      </c>
      <c r="AR27">
        <v>37</v>
      </c>
      <c r="AS27">
        <v>39</v>
      </c>
      <c r="AT27">
        <v>40</v>
      </c>
      <c r="AU27">
        <v>43</v>
      </c>
      <c r="AV27">
        <v>49</v>
      </c>
      <c r="AW27">
        <v>54</v>
      </c>
      <c r="AX27">
        <v>43</v>
      </c>
      <c r="AY27">
        <v>49</v>
      </c>
      <c r="AZ27">
        <v>47</v>
      </c>
      <c r="BA27">
        <v>46</v>
      </c>
      <c r="BB27">
        <v>37</v>
      </c>
      <c r="BC27">
        <v>52</v>
      </c>
      <c r="BD27">
        <v>52</v>
      </c>
      <c r="BE27">
        <v>46</v>
      </c>
      <c r="BF27">
        <v>42</v>
      </c>
      <c r="BG27">
        <v>47</v>
      </c>
      <c r="BH27">
        <v>41</v>
      </c>
      <c r="BI27">
        <v>50</v>
      </c>
      <c r="BJ27">
        <v>38</v>
      </c>
      <c r="BK27">
        <v>52</v>
      </c>
      <c r="BL27">
        <v>35</v>
      </c>
    </row>
    <row r="28" spans="1:64" x14ac:dyDescent="0.25">
      <c r="A28" t="s">
        <v>89</v>
      </c>
      <c r="B28">
        <v>3040</v>
      </c>
      <c r="C28" s="5">
        <v>466.30808700053598</v>
      </c>
      <c r="D28" s="5">
        <v>153.39081809228159</v>
      </c>
      <c r="E28">
        <v>50</v>
      </c>
      <c r="F28">
        <v>50</v>
      </c>
      <c r="G28">
        <v>53</v>
      </c>
      <c r="H28">
        <v>57</v>
      </c>
      <c r="I28">
        <v>37</v>
      </c>
      <c r="J28">
        <v>49</v>
      </c>
      <c r="K28">
        <v>53</v>
      </c>
      <c r="L28">
        <v>49</v>
      </c>
      <c r="M28">
        <v>47</v>
      </c>
      <c r="N28">
        <v>52</v>
      </c>
      <c r="O28">
        <v>52</v>
      </c>
      <c r="P28">
        <v>45</v>
      </c>
      <c r="Q28">
        <v>51</v>
      </c>
      <c r="R28">
        <v>50</v>
      </c>
      <c r="S28">
        <v>51</v>
      </c>
      <c r="T28">
        <v>55</v>
      </c>
      <c r="U28">
        <v>49</v>
      </c>
      <c r="V28">
        <v>50</v>
      </c>
      <c r="W28">
        <v>49</v>
      </c>
      <c r="X28">
        <v>55</v>
      </c>
      <c r="Y28">
        <v>49</v>
      </c>
      <c r="Z28">
        <v>53</v>
      </c>
      <c r="AA28">
        <v>52</v>
      </c>
      <c r="AB28">
        <v>45</v>
      </c>
      <c r="AC28">
        <v>52</v>
      </c>
      <c r="AD28">
        <v>44</v>
      </c>
      <c r="AE28">
        <v>53</v>
      </c>
      <c r="AF28">
        <v>53</v>
      </c>
      <c r="AG28">
        <v>44</v>
      </c>
      <c r="AH28">
        <v>42</v>
      </c>
      <c r="AI28">
        <v>53</v>
      </c>
      <c r="AJ28">
        <v>46</v>
      </c>
      <c r="AK28">
        <v>50</v>
      </c>
      <c r="AL28">
        <v>50</v>
      </c>
      <c r="AM28">
        <v>57</v>
      </c>
      <c r="AN28">
        <v>52</v>
      </c>
      <c r="AO28">
        <v>54</v>
      </c>
      <c r="AP28">
        <v>49</v>
      </c>
      <c r="AQ28">
        <v>51</v>
      </c>
      <c r="AR28">
        <v>49</v>
      </c>
      <c r="AS28">
        <v>52</v>
      </c>
      <c r="AT28">
        <v>52</v>
      </c>
      <c r="AU28">
        <v>52</v>
      </c>
      <c r="AV28">
        <v>50</v>
      </c>
      <c r="AW28">
        <v>58</v>
      </c>
      <c r="AX28">
        <v>62</v>
      </c>
      <c r="AY28">
        <v>50</v>
      </c>
      <c r="AZ28">
        <v>52</v>
      </c>
      <c r="BA28">
        <v>51</v>
      </c>
      <c r="BB28">
        <v>48</v>
      </c>
      <c r="BC28">
        <v>52</v>
      </c>
      <c r="BD28">
        <v>51</v>
      </c>
      <c r="BE28">
        <v>50</v>
      </c>
      <c r="BF28">
        <v>51</v>
      </c>
      <c r="BG28">
        <v>46</v>
      </c>
      <c r="BH28">
        <v>51</v>
      </c>
      <c r="BI28">
        <v>52</v>
      </c>
      <c r="BJ28">
        <v>53</v>
      </c>
      <c r="BK28">
        <v>50</v>
      </c>
      <c r="BL28">
        <v>55</v>
      </c>
    </row>
    <row r="29" spans="1:64" x14ac:dyDescent="0.25">
      <c r="A29" t="s">
        <v>90</v>
      </c>
      <c r="B29">
        <v>2678</v>
      </c>
      <c r="C29" s="5">
        <v>451.57302749995142</v>
      </c>
      <c r="D29" s="5">
        <v>168.62323655711401</v>
      </c>
      <c r="E29">
        <v>45</v>
      </c>
      <c r="F29">
        <v>46</v>
      </c>
      <c r="G29">
        <v>42</v>
      </c>
      <c r="H29">
        <v>42</v>
      </c>
      <c r="I29">
        <v>48</v>
      </c>
      <c r="J29">
        <v>45</v>
      </c>
      <c r="K29">
        <v>50</v>
      </c>
      <c r="L29">
        <v>47</v>
      </c>
      <c r="M29">
        <v>43</v>
      </c>
      <c r="N29">
        <v>43</v>
      </c>
      <c r="O29">
        <v>50</v>
      </c>
      <c r="P29">
        <v>42</v>
      </c>
      <c r="Q29">
        <v>45</v>
      </c>
      <c r="R29">
        <v>39</v>
      </c>
      <c r="S29">
        <v>43</v>
      </c>
      <c r="T29">
        <v>41</v>
      </c>
      <c r="U29">
        <v>46</v>
      </c>
      <c r="V29">
        <v>42</v>
      </c>
      <c r="W29">
        <v>38</v>
      </c>
      <c r="X29">
        <v>48</v>
      </c>
      <c r="Y29">
        <v>44</v>
      </c>
      <c r="Z29">
        <v>46</v>
      </c>
      <c r="AA29">
        <v>48</v>
      </c>
      <c r="AB29">
        <v>46</v>
      </c>
      <c r="AC29">
        <v>44</v>
      </c>
      <c r="AD29">
        <v>44</v>
      </c>
      <c r="AE29">
        <v>44</v>
      </c>
      <c r="AF29">
        <v>42</v>
      </c>
      <c r="AG29">
        <v>42</v>
      </c>
      <c r="AH29">
        <v>36</v>
      </c>
      <c r="AI29">
        <v>49</v>
      </c>
      <c r="AJ29">
        <v>45</v>
      </c>
      <c r="AK29">
        <v>44</v>
      </c>
      <c r="AL29">
        <v>45</v>
      </c>
      <c r="AM29">
        <v>47</v>
      </c>
      <c r="AN29">
        <v>46</v>
      </c>
      <c r="AO29">
        <v>45</v>
      </c>
      <c r="AP29">
        <v>43</v>
      </c>
      <c r="AQ29">
        <v>48</v>
      </c>
      <c r="AR29">
        <v>44</v>
      </c>
      <c r="AS29">
        <v>43</v>
      </c>
      <c r="AT29">
        <v>43</v>
      </c>
      <c r="AU29">
        <v>51</v>
      </c>
      <c r="AV29">
        <v>45</v>
      </c>
      <c r="AW29">
        <v>45</v>
      </c>
      <c r="AX29">
        <v>49</v>
      </c>
      <c r="AY29">
        <v>45</v>
      </c>
      <c r="AZ29">
        <v>46</v>
      </c>
      <c r="BA29">
        <v>42</v>
      </c>
      <c r="BB29">
        <v>41</v>
      </c>
      <c r="BC29">
        <v>47</v>
      </c>
      <c r="BD29">
        <v>40</v>
      </c>
      <c r="BE29">
        <v>48</v>
      </c>
      <c r="BF29">
        <v>45</v>
      </c>
      <c r="BG29">
        <v>45</v>
      </c>
      <c r="BH29">
        <v>45</v>
      </c>
      <c r="BI29">
        <v>48</v>
      </c>
      <c r="BJ29">
        <v>44</v>
      </c>
      <c r="BK29">
        <v>44</v>
      </c>
      <c r="BL29">
        <v>45</v>
      </c>
    </row>
    <row r="30" spans="1:64" x14ac:dyDescent="0.25">
      <c r="A30" t="s">
        <v>91</v>
      </c>
      <c r="B30">
        <v>2907</v>
      </c>
      <c r="C30" s="5">
        <v>516.82802799926139</v>
      </c>
      <c r="D30" s="5">
        <v>177.78741933239129</v>
      </c>
      <c r="E30">
        <v>48</v>
      </c>
      <c r="F30">
        <v>46</v>
      </c>
      <c r="G30">
        <v>52</v>
      </c>
      <c r="H30">
        <v>48</v>
      </c>
      <c r="I30">
        <v>48</v>
      </c>
      <c r="J30">
        <v>49</v>
      </c>
      <c r="K30">
        <v>48</v>
      </c>
      <c r="L30">
        <v>43</v>
      </c>
      <c r="M30">
        <v>47</v>
      </c>
      <c r="N30">
        <v>49</v>
      </c>
      <c r="O30">
        <v>45</v>
      </c>
      <c r="P30">
        <v>44</v>
      </c>
      <c r="Q30">
        <v>48</v>
      </c>
      <c r="R30">
        <v>47</v>
      </c>
      <c r="S30">
        <v>50</v>
      </c>
      <c r="T30">
        <v>51</v>
      </c>
      <c r="U30">
        <v>46</v>
      </c>
      <c r="V30">
        <v>48</v>
      </c>
      <c r="W30">
        <v>48</v>
      </c>
      <c r="X30">
        <v>46</v>
      </c>
      <c r="Y30">
        <v>46</v>
      </c>
      <c r="Z30">
        <v>52</v>
      </c>
      <c r="AA30">
        <v>49</v>
      </c>
      <c r="AB30">
        <v>50</v>
      </c>
      <c r="AC30">
        <v>47</v>
      </c>
      <c r="AD30">
        <v>46</v>
      </c>
      <c r="AE30">
        <v>49</v>
      </c>
      <c r="AF30">
        <v>49</v>
      </c>
      <c r="AG30">
        <v>46</v>
      </c>
      <c r="AH30">
        <v>51</v>
      </c>
      <c r="AI30">
        <v>55</v>
      </c>
      <c r="AJ30">
        <v>45</v>
      </c>
      <c r="AK30">
        <v>44</v>
      </c>
      <c r="AL30">
        <v>46</v>
      </c>
      <c r="AM30">
        <v>49</v>
      </c>
      <c r="AN30">
        <v>50</v>
      </c>
      <c r="AO30">
        <v>52</v>
      </c>
      <c r="AP30">
        <v>47</v>
      </c>
      <c r="AQ30">
        <v>48</v>
      </c>
      <c r="AR30">
        <v>51</v>
      </c>
      <c r="AS30">
        <v>48</v>
      </c>
      <c r="AT30">
        <v>56</v>
      </c>
      <c r="AU30">
        <v>48</v>
      </c>
      <c r="AV30">
        <v>50</v>
      </c>
      <c r="AW30">
        <v>50</v>
      </c>
      <c r="AX30">
        <v>50</v>
      </c>
      <c r="AY30">
        <v>55</v>
      </c>
      <c r="AZ30">
        <v>49</v>
      </c>
      <c r="BA30">
        <v>46</v>
      </c>
      <c r="BB30">
        <v>47</v>
      </c>
      <c r="BC30">
        <v>48</v>
      </c>
      <c r="BD30">
        <v>51</v>
      </c>
      <c r="BE30">
        <v>47</v>
      </c>
      <c r="BF30">
        <v>48</v>
      </c>
      <c r="BG30">
        <v>52</v>
      </c>
      <c r="BH30">
        <v>46</v>
      </c>
      <c r="BI30">
        <v>49</v>
      </c>
      <c r="BJ30">
        <v>44</v>
      </c>
      <c r="BK30">
        <v>50</v>
      </c>
      <c r="BL30">
        <v>50</v>
      </c>
    </row>
    <row r="31" spans="1:64" x14ac:dyDescent="0.25">
      <c r="A31" t="s">
        <v>92</v>
      </c>
      <c r="B31">
        <v>2844</v>
      </c>
      <c r="C31" s="5">
        <v>440.89392150036292</v>
      </c>
      <c r="D31" s="5">
        <v>155.02599208873519</v>
      </c>
      <c r="E31">
        <v>32</v>
      </c>
      <c r="F31">
        <v>44</v>
      </c>
      <c r="G31">
        <v>48</v>
      </c>
      <c r="H31">
        <v>37</v>
      </c>
      <c r="I31">
        <v>45</v>
      </c>
      <c r="J31">
        <v>47</v>
      </c>
      <c r="K31">
        <v>44</v>
      </c>
      <c r="L31">
        <v>47</v>
      </c>
      <c r="M31">
        <v>48</v>
      </c>
      <c r="N31">
        <v>46</v>
      </c>
      <c r="O31">
        <v>47</v>
      </c>
      <c r="P31">
        <v>50</v>
      </c>
      <c r="Q31">
        <v>52</v>
      </c>
      <c r="R31">
        <v>47</v>
      </c>
      <c r="S31">
        <v>50</v>
      </c>
      <c r="T31">
        <v>49</v>
      </c>
      <c r="U31">
        <v>53</v>
      </c>
      <c r="V31">
        <v>43</v>
      </c>
      <c r="W31">
        <v>53</v>
      </c>
      <c r="X31">
        <v>49</v>
      </c>
      <c r="Y31">
        <v>52</v>
      </c>
      <c r="Z31">
        <v>48</v>
      </c>
      <c r="AA31">
        <v>52</v>
      </c>
      <c r="AB31">
        <v>49</v>
      </c>
      <c r="AC31">
        <v>50</v>
      </c>
      <c r="AD31">
        <v>44</v>
      </c>
      <c r="AE31">
        <v>47</v>
      </c>
      <c r="AF31">
        <v>50</v>
      </c>
      <c r="AG31">
        <v>43</v>
      </c>
      <c r="AH31">
        <v>46</v>
      </c>
      <c r="AI31">
        <v>47</v>
      </c>
      <c r="AJ31">
        <v>47</v>
      </c>
      <c r="AK31">
        <v>43</v>
      </c>
      <c r="AL31">
        <v>41</v>
      </c>
      <c r="AM31">
        <v>48</v>
      </c>
      <c r="AN31">
        <v>53</v>
      </c>
      <c r="AO31">
        <v>54</v>
      </c>
      <c r="AP31">
        <v>50</v>
      </c>
      <c r="AQ31">
        <v>46</v>
      </c>
      <c r="AR31">
        <v>52</v>
      </c>
      <c r="AS31">
        <v>49</v>
      </c>
      <c r="AT31">
        <v>47</v>
      </c>
      <c r="AU31">
        <v>47</v>
      </c>
      <c r="AV31">
        <v>49</v>
      </c>
      <c r="AW31">
        <v>43</v>
      </c>
      <c r="AX31">
        <v>51</v>
      </c>
      <c r="AY31">
        <v>51</v>
      </c>
      <c r="AZ31">
        <v>52</v>
      </c>
      <c r="BA31">
        <v>54</v>
      </c>
      <c r="BB31">
        <v>47</v>
      </c>
      <c r="BC31">
        <v>44</v>
      </c>
      <c r="BD31">
        <v>46</v>
      </c>
      <c r="BE31">
        <v>45</v>
      </c>
      <c r="BF31">
        <v>47</v>
      </c>
      <c r="BG31">
        <v>54</v>
      </c>
      <c r="BH31">
        <v>47</v>
      </c>
      <c r="BI31">
        <v>39</v>
      </c>
      <c r="BJ31">
        <v>48</v>
      </c>
      <c r="BK31">
        <v>44</v>
      </c>
      <c r="BL31">
        <v>47</v>
      </c>
    </row>
    <row r="32" spans="1:64" x14ac:dyDescent="0.25">
      <c r="A32" t="s">
        <v>93</v>
      </c>
      <c r="B32">
        <v>2719</v>
      </c>
      <c r="C32" s="5">
        <v>408.11208399984753</v>
      </c>
      <c r="D32" s="5">
        <v>150.09638984915321</v>
      </c>
      <c r="E32">
        <v>45</v>
      </c>
      <c r="F32">
        <v>49</v>
      </c>
      <c r="G32">
        <v>39</v>
      </c>
      <c r="H32">
        <v>45</v>
      </c>
      <c r="I32">
        <v>54</v>
      </c>
      <c r="J32">
        <v>52</v>
      </c>
      <c r="K32">
        <v>51</v>
      </c>
      <c r="L32">
        <v>42</v>
      </c>
      <c r="M32">
        <v>48</v>
      </c>
      <c r="N32">
        <v>43</v>
      </c>
      <c r="O32">
        <v>48</v>
      </c>
      <c r="P32">
        <v>48</v>
      </c>
      <c r="Q32">
        <v>51</v>
      </c>
      <c r="R32">
        <v>44</v>
      </c>
      <c r="S32">
        <v>47</v>
      </c>
      <c r="T32">
        <v>48</v>
      </c>
      <c r="U32">
        <v>49</v>
      </c>
      <c r="V32">
        <v>39</v>
      </c>
      <c r="W32">
        <v>48</v>
      </c>
      <c r="X32">
        <v>54</v>
      </c>
      <c r="Y32">
        <v>50</v>
      </c>
      <c r="Z32">
        <v>52</v>
      </c>
      <c r="AA32">
        <v>44</v>
      </c>
      <c r="AB32">
        <v>45</v>
      </c>
      <c r="AC32">
        <v>39</v>
      </c>
      <c r="AD32">
        <v>47</v>
      </c>
      <c r="AE32">
        <v>48</v>
      </c>
      <c r="AF32">
        <v>41</v>
      </c>
      <c r="AG32">
        <v>45</v>
      </c>
      <c r="AH32">
        <v>46</v>
      </c>
      <c r="AI32">
        <v>44</v>
      </c>
      <c r="AJ32">
        <v>38</v>
      </c>
      <c r="AK32">
        <v>43</v>
      </c>
      <c r="AL32">
        <v>42</v>
      </c>
      <c r="AM32">
        <v>48</v>
      </c>
      <c r="AN32">
        <v>43</v>
      </c>
      <c r="AO32">
        <v>46</v>
      </c>
      <c r="AP32">
        <v>42</v>
      </c>
      <c r="AQ32">
        <v>47</v>
      </c>
      <c r="AR32">
        <v>41</v>
      </c>
      <c r="AS32">
        <v>53</v>
      </c>
      <c r="AT32">
        <v>39</v>
      </c>
      <c r="AU32">
        <v>49</v>
      </c>
      <c r="AV32">
        <v>46</v>
      </c>
      <c r="AW32">
        <v>47</v>
      </c>
      <c r="AX32">
        <v>45</v>
      </c>
      <c r="AY32">
        <v>44</v>
      </c>
      <c r="AZ32">
        <v>46</v>
      </c>
      <c r="BA32">
        <v>42</v>
      </c>
      <c r="BB32">
        <v>42</v>
      </c>
      <c r="BC32">
        <v>41</v>
      </c>
      <c r="BD32">
        <v>52</v>
      </c>
      <c r="BE32">
        <v>48</v>
      </c>
      <c r="BF32">
        <v>35</v>
      </c>
      <c r="BG32">
        <v>45</v>
      </c>
      <c r="BH32">
        <v>40</v>
      </c>
      <c r="BI32">
        <v>38</v>
      </c>
      <c r="BJ32">
        <v>45</v>
      </c>
      <c r="BK32">
        <v>48</v>
      </c>
      <c r="BL32">
        <v>39</v>
      </c>
    </row>
    <row r="33" spans="1:64" x14ac:dyDescent="0.25">
      <c r="A33" t="s">
        <v>94</v>
      </c>
      <c r="B33">
        <v>1471</v>
      </c>
      <c r="C33" s="5">
        <v>259.40624500039848</v>
      </c>
      <c r="D33" s="5">
        <v>176.34686947681749</v>
      </c>
      <c r="E33">
        <v>46</v>
      </c>
      <c r="F33">
        <v>27</v>
      </c>
      <c r="G33">
        <v>28</v>
      </c>
      <c r="H33">
        <v>10</v>
      </c>
      <c r="I33">
        <v>6</v>
      </c>
      <c r="J33">
        <v>1</v>
      </c>
      <c r="K33">
        <v>12</v>
      </c>
      <c r="L33">
        <v>4</v>
      </c>
      <c r="M33">
        <v>13</v>
      </c>
      <c r="N33">
        <v>31</v>
      </c>
      <c r="O33">
        <v>39</v>
      </c>
      <c r="P33">
        <v>41</v>
      </c>
      <c r="Q33">
        <v>35</v>
      </c>
      <c r="R33">
        <v>41</v>
      </c>
      <c r="S33">
        <v>23</v>
      </c>
      <c r="T33">
        <v>30</v>
      </c>
      <c r="U33">
        <v>31</v>
      </c>
      <c r="V33">
        <v>38</v>
      </c>
      <c r="W33">
        <v>39</v>
      </c>
      <c r="X33">
        <v>45</v>
      </c>
      <c r="Y33">
        <v>28</v>
      </c>
      <c r="Z33">
        <v>33</v>
      </c>
      <c r="AA33">
        <v>36</v>
      </c>
      <c r="AB33">
        <v>35</v>
      </c>
      <c r="AC33">
        <v>26</v>
      </c>
      <c r="AD33">
        <v>29</v>
      </c>
      <c r="AE33">
        <v>26</v>
      </c>
      <c r="AF33">
        <v>19</v>
      </c>
      <c r="AG33">
        <v>13</v>
      </c>
      <c r="AH33">
        <v>35</v>
      </c>
      <c r="AI33">
        <v>40</v>
      </c>
      <c r="AJ33">
        <v>39</v>
      </c>
      <c r="AK33">
        <v>7</v>
      </c>
      <c r="AL33">
        <v>12</v>
      </c>
      <c r="AM33">
        <v>29</v>
      </c>
      <c r="AN33">
        <v>43</v>
      </c>
      <c r="AO33">
        <v>36</v>
      </c>
      <c r="AP33">
        <v>42</v>
      </c>
      <c r="AQ33">
        <v>19</v>
      </c>
      <c r="AR33">
        <v>34</v>
      </c>
      <c r="AS33">
        <v>42</v>
      </c>
      <c r="AT33">
        <v>40</v>
      </c>
      <c r="AU33">
        <v>44</v>
      </c>
      <c r="AV33">
        <v>39</v>
      </c>
      <c r="AW33">
        <v>42</v>
      </c>
      <c r="AX33">
        <v>45</v>
      </c>
      <c r="AY33">
        <v>48</v>
      </c>
      <c r="AZ33">
        <v>50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 x14ac:dyDescent="0.25">
      <c r="A34" t="s">
        <v>95</v>
      </c>
      <c r="B34">
        <v>2938</v>
      </c>
      <c r="C34" s="5">
        <v>465.69436599430628</v>
      </c>
      <c r="D34" s="5">
        <v>158.50727229213959</v>
      </c>
      <c r="E34">
        <v>43</v>
      </c>
      <c r="F34">
        <v>55</v>
      </c>
      <c r="G34">
        <v>49</v>
      </c>
      <c r="H34">
        <v>45</v>
      </c>
      <c r="I34">
        <v>51</v>
      </c>
      <c r="J34">
        <v>54</v>
      </c>
      <c r="K34">
        <v>49</v>
      </c>
      <c r="L34">
        <v>49</v>
      </c>
      <c r="M34">
        <v>46</v>
      </c>
      <c r="N34">
        <v>53</v>
      </c>
      <c r="O34">
        <v>47</v>
      </c>
      <c r="P34">
        <v>46</v>
      </c>
      <c r="Q34">
        <v>51</v>
      </c>
      <c r="R34">
        <v>49</v>
      </c>
      <c r="S34">
        <v>52</v>
      </c>
      <c r="T34">
        <v>45</v>
      </c>
      <c r="U34">
        <v>48</v>
      </c>
      <c r="V34">
        <v>50</v>
      </c>
      <c r="W34">
        <v>53</v>
      </c>
      <c r="X34">
        <v>57</v>
      </c>
      <c r="Y34">
        <v>51</v>
      </c>
      <c r="Z34">
        <v>53</v>
      </c>
      <c r="AA34">
        <v>53</v>
      </c>
      <c r="AB34">
        <v>49</v>
      </c>
      <c r="AC34">
        <v>45</v>
      </c>
      <c r="AD34">
        <v>49</v>
      </c>
      <c r="AE34">
        <v>48</v>
      </c>
      <c r="AF34">
        <v>50</v>
      </c>
      <c r="AG34">
        <v>45</v>
      </c>
      <c r="AH34">
        <v>48</v>
      </c>
      <c r="AI34">
        <v>52</v>
      </c>
      <c r="AJ34">
        <v>49</v>
      </c>
      <c r="AK34">
        <v>48</v>
      </c>
      <c r="AL34">
        <v>44</v>
      </c>
      <c r="AM34">
        <v>44</v>
      </c>
      <c r="AN34">
        <v>49</v>
      </c>
      <c r="AO34">
        <v>49</v>
      </c>
      <c r="AP34">
        <v>47</v>
      </c>
      <c r="AQ34">
        <v>48</v>
      </c>
      <c r="AR34">
        <v>50</v>
      </c>
      <c r="AS34">
        <v>52</v>
      </c>
      <c r="AT34">
        <v>51</v>
      </c>
      <c r="AU34">
        <v>47</v>
      </c>
      <c r="AV34">
        <v>52</v>
      </c>
      <c r="AW34">
        <v>44</v>
      </c>
      <c r="AX34">
        <v>47</v>
      </c>
      <c r="AY34">
        <v>49</v>
      </c>
      <c r="AZ34">
        <v>54</v>
      </c>
      <c r="BA34">
        <v>53</v>
      </c>
      <c r="BB34">
        <v>44</v>
      </c>
      <c r="BC34">
        <v>53</v>
      </c>
      <c r="BD34">
        <v>57</v>
      </c>
      <c r="BE34">
        <v>49</v>
      </c>
      <c r="BF34">
        <v>52</v>
      </c>
      <c r="BG34">
        <v>48</v>
      </c>
      <c r="BH34">
        <v>52</v>
      </c>
      <c r="BI34">
        <v>37</v>
      </c>
      <c r="BJ34">
        <v>45</v>
      </c>
      <c r="BK34">
        <v>43</v>
      </c>
      <c r="BL34">
        <v>46</v>
      </c>
    </row>
    <row r="35" spans="1:64" x14ac:dyDescent="0.25">
      <c r="A35" t="s">
        <v>96</v>
      </c>
      <c r="B35">
        <v>2769</v>
      </c>
      <c r="C35" s="5">
        <v>439.25792449654551</v>
      </c>
      <c r="D35" s="5">
        <v>158.63413669069899</v>
      </c>
      <c r="E35">
        <v>49</v>
      </c>
      <c r="F35">
        <v>40</v>
      </c>
      <c r="G35">
        <v>42</v>
      </c>
      <c r="H35">
        <v>48</v>
      </c>
      <c r="I35">
        <v>42</v>
      </c>
      <c r="J35">
        <v>39</v>
      </c>
      <c r="K35">
        <v>48</v>
      </c>
      <c r="L35">
        <v>47</v>
      </c>
      <c r="M35">
        <v>45</v>
      </c>
      <c r="N35">
        <v>48</v>
      </c>
      <c r="O35">
        <v>46</v>
      </c>
      <c r="P35">
        <v>52</v>
      </c>
      <c r="Q35">
        <v>45</v>
      </c>
      <c r="R35">
        <v>45</v>
      </c>
      <c r="S35">
        <v>43</v>
      </c>
      <c r="T35">
        <v>49</v>
      </c>
      <c r="U35">
        <v>49</v>
      </c>
      <c r="V35">
        <v>51</v>
      </c>
      <c r="W35">
        <v>44</v>
      </c>
      <c r="X35">
        <v>46</v>
      </c>
      <c r="Y35">
        <v>39</v>
      </c>
      <c r="Z35">
        <v>46</v>
      </c>
      <c r="AA35">
        <v>49</v>
      </c>
      <c r="AB35">
        <v>46</v>
      </c>
      <c r="AC35">
        <v>46</v>
      </c>
      <c r="AD35">
        <v>49</v>
      </c>
      <c r="AE35">
        <v>49</v>
      </c>
      <c r="AF35">
        <v>48</v>
      </c>
      <c r="AG35">
        <v>41</v>
      </c>
      <c r="AH35">
        <v>38</v>
      </c>
      <c r="AI35">
        <v>47</v>
      </c>
      <c r="AJ35">
        <v>40</v>
      </c>
      <c r="AK35">
        <v>50</v>
      </c>
      <c r="AL35">
        <v>44</v>
      </c>
      <c r="AM35">
        <v>47</v>
      </c>
      <c r="AN35">
        <v>44</v>
      </c>
      <c r="AO35">
        <v>50</v>
      </c>
      <c r="AP35">
        <v>41</v>
      </c>
      <c r="AQ35">
        <v>43</v>
      </c>
      <c r="AR35">
        <v>50</v>
      </c>
      <c r="AS35">
        <v>47</v>
      </c>
      <c r="AT35">
        <v>45</v>
      </c>
      <c r="AU35">
        <v>46</v>
      </c>
      <c r="AV35">
        <v>51</v>
      </c>
      <c r="AW35">
        <v>46</v>
      </c>
      <c r="AX35">
        <v>41</v>
      </c>
      <c r="AY35">
        <v>51</v>
      </c>
      <c r="AZ35">
        <v>51</v>
      </c>
      <c r="BA35">
        <v>51</v>
      </c>
      <c r="BB35">
        <v>45</v>
      </c>
      <c r="BC35">
        <v>48</v>
      </c>
      <c r="BD35">
        <v>57</v>
      </c>
      <c r="BE35">
        <v>49</v>
      </c>
      <c r="BF35">
        <v>47</v>
      </c>
      <c r="BG35">
        <v>43</v>
      </c>
      <c r="BH35">
        <v>44</v>
      </c>
      <c r="BI35">
        <v>40</v>
      </c>
      <c r="BJ35">
        <v>50</v>
      </c>
      <c r="BK35">
        <v>42</v>
      </c>
      <c r="BL35">
        <v>50</v>
      </c>
    </row>
    <row r="36" spans="1:64" x14ac:dyDescent="0.25">
      <c r="A36" t="s">
        <v>97</v>
      </c>
      <c r="B36">
        <v>2916</v>
      </c>
      <c r="C36" s="5">
        <v>474.22558300534729</v>
      </c>
      <c r="D36" s="5">
        <v>162.62880075629189</v>
      </c>
      <c r="E36">
        <v>49</v>
      </c>
      <c r="F36">
        <v>48</v>
      </c>
      <c r="G36">
        <v>47</v>
      </c>
      <c r="H36">
        <v>45</v>
      </c>
      <c r="I36">
        <v>47</v>
      </c>
      <c r="J36">
        <v>50</v>
      </c>
      <c r="K36">
        <v>53</v>
      </c>
      <c r="L36">
        <v>50</v>
      </c>
      <c r="M36">
        <v>53</v>
      </c>
      <c r="N36">
        <v>44</v>
      </c>
      <c r="O36">
        <v>50</v>
      </c>
      <c r="P36">
        <v>48</v>
      </c>
      <c r="Q36">
        <v>51</v>
      </c>
      <c r="R36">
        <v>40</v>
      </c>
      <c r="S36">
        <v>48</v>
      </c>
      <c r="T36">
        <v>46</v>
      </c>
      <c r="U36">
        <v>47</v>
      </c>
      <c r="V36">
        <v>49</v>
      </c>
      <c r="W36">
        <v>50</v>
      </c>
      <c r="X36">
        <v>47</v>
      </c>
      <c r="Y36">
        <v>47</v>
      </c>
      <c r="Z36">
        <v>51</v>
      </c>
      <c r="AA36">
        <v>51</v>
      </c>
      <c r="AB36">
        <v>47</v>
      </c>
      <c r="AC36">
        <v>44</v>
      </c>
      <c r="AD36">
        <v>49</v>
      </c>
      <c r="AE36">
        <v>51</v>
      </c>
      <c r="AF36">
        <v>43</v>
      </c>
      <c r="AG36">
        <v>48</v>
      </c>
      <c r="AH36">
        <v>54</v>
      </c>
      <c r="AI36">
        <v>44</v>
      </c>
      <c r="AJ36">
        <v>47</v>
      </c>
      <c r="AK36">
        <v>49</v>
      </c>
      <c r="AL36">
        <v>43</v>
      </c>
      <c r="AM36">
        <v>47</v>
      </c>
      <c r="AN36">
        <v>47</v>
      </c>
      <c r="AO36">
        <v>51</v>
      </c>
      <c r="AP36">
        <v>50</v>
      </c>
      <c r="AQ36">
        <v>50</v>
      </c>
      <c r="AR36">
        <v>54</v>
      </c>
      <c r="AS36">
        <v>53</v>
      </c>
      <c r="AT36">
        <v>48</v>
      </c>
      <c r="AU36">
        <v>44</v>
      </c>
      <c r="AV36">
        <v>51</v>
      </c>
      <c r="AW36">
        <v>51</v>
      </c>
      <c r="AX36">
        <v>49</v>
      </c>
      <c r="AY36">
        <v>55</v>
      </c>
      <c r="AZ36">
        <v>50</v>
      </c>
      <c r="BA36">
        <v>51</v>
      </c>
      <c r="BB36">
        <v>47</v>
      </c>
      <c r="BC36">
        <v>50</v>
      </c>
      <c r="BD36">
        <v>49</v>
      </c>
      <c r="BE36">
        <v>48</v>
      </c>
      <c r="BF36">
        <v>43</v>
      </c>
      <c r="BG36">
        <v>49</v>
      </c>
      <c r="BH36">
        <v>50</v>
      </c>
      <c r="BI36">
        <v>57</v>
      </c>
      <c r="BJ36">
        <v>46</v>
      </c>
      <c r="BK36">
        <v>49</v>
      </c>
      <c r="BL36">
        <v>47</v>
      </c>
    </row>
    <row r="37" spans="1:64" x14ac:dyDescent="0.25">
      <c r="A37" t="s">
        <v>98</v>
      </c>
      <c r="B37">
        <v>2409</v>
      </c>
      <c r="C37" s="5">
        <v>383.67995949916082</v>
      </c>
      <c r="D37" s="5">
        <v>159.26938958039051</v>
      </c>
      <c r="E37">
        <v>42</v>
      </c>
      <c r="F37">
        <v>23</v>
      </c>
      <c r="G37">
        <v>40</v>
      </c>
      <c r="H37">
        <v>46</v>
      </c>
      <c r="I37">
        <v>35</v>
      </c>
      <c r="J37">
        <v>41</v>
      </c>
      <c r="K37">
        <v>42</v>
      </c>
      <c r="L37">
        <v>40</v>
      </c>
      <c r="M37">
        <v>20</v>
      </c>
      <c r="N37">
        <v>34</v>
      </c>
      <c r="O37">
        <v>36</v>
      </c>
      <c r="P37">
        <v>42</v>
      </c>
      <c r="Q37">
        <v>35</v>
      </c>
      <c r="R37">
        <v>38</v>
      </c>
      <c r="S37">
        <v>43</v>
      </c>
      <c r="T37">
        <v>47</v>
      </c>
      <c r="U37">
        <v>44</v>
      </c>
      <c r="V37">
        <v>47</v>
      </c>
      <c r="W37">
        <v>37</v>
      </c>
      <c r="X37">
        <v>40</v>
      </c>
      <c r="Y37">
        <v>46</v>
      </c>
      <c r="Z37">
        <v>40</v>
      </c>
      <c r="AA37">
        <v>43</v>
      </c>
      <c r="AB37">
        <v>29</v>
      </c>
      <c r="AC37">
        <v>41</v>
      </c>
      <c r="AD37">
        <v>37</v>
      </c>
      <c r="AE37">
        <v>40</v>
      </c>
      <c r="AF37">
        <v>24</v>
      </c>
      <c r="AG37">
        <v>44</v>
      </c>
      <c r="AH37">
        <v>40</v>
      </c>
      <c r="AI37">
        <v>44</v>
      </c>
      <c r="AJ37">
        <v>49</v>
      </c>
      <c r="AK37">
        <v>52</v>
      </c>
      <c r="AL37">
        <v>46</v>
      </c>
      <c r="AM37">
        <v>51</v>
      </c>
      <c r="AN37">
        <v>46</v>
      </c>
      <c r="AO37">
        <v>43</v>
      </c>
      <c r="AP37">
        <v>31</v>
      </c>
      <c r="AQ37">
        <v>54</v>
      </c>
      <c r="AR37">
        <v>45</v>
      </c>
      <c r="AS37">
        <v>45</v>
      </c>
      <c r="AT37">
        <v>45</v>
      </c>
      <c r="AU37">
        <v>43</v>
      </c>
      <c r="AV37">
        <v>32</v>
      </c>
      <c r="AW37">
        <v>26</v>
      </c>
      <c r="AX37">
        <v>40</v>
      </c>
      <c r="AY37">
        <v>38</v>
      </c>
      <c r="AZ37">
        <v>36</v>
      </c>
      <c r="BA37">
        <v>47</v>
      </c>
      <c r="BB37">
        <v>26</v>
      </c>
      <c r="BC37">
        <v>26</v>
      </c>
      <c r="BD37">
        <v>51</v>
      </c>
      <c r="BE37">
        <v>45</v>
      </c>
      <c r="BF37">
        <v>28</v>
      </c>
      <c r="BG37">
        <v>51</v>
      </c>
      <c r="BH37">
        <v>25</v>
      </c>
      <c r="BI37">
        <v>44</v>
      </c>
      <c r="BJ37">
        <v>38</v>
      </c>
      <c r="BK37">
        <v>53</v>
      </c>
      <c r="BL37">
        <v>53</v>
      </c>
    </row>
    <row r="38" spans="1:64" x14ac:dyDescent="0.25">
      <c r="A38" t="s">
        <v>99</v>
      </c>
      <c r="B38">
        <v>2667</v>
      </c>
      <c r="C38" s="5">
        <v>437.68232749975869</v>
      </c>
      <c r="D38" s="5">
        <v>164.11035901753229</v>
      </c>
      <c r="E38">
        <v>45</v>
      </c>
      <c r="F38">
        <v>46</v>
      </c>
      <c r="G38">
        <v>52</v>
      </c>
      <c r="H38">
        <v>49</v>
      </c>
      <c r="I38">
        <v>47</v>
      </c>
      <c r="J38">
        <v>44</v>
      </c>
      <c r="K38">
        <v>41</v>
      </c>
      <c r="L38">
        <v>45</v>
      </c>
      <c r="M38">
        <v>43</v>
      </c>
      <c r="N38">
        <v>39</v>
      </c>
      <c r="O38">
        <v>41</v>
      </c>
      <c r="P38">
        <v>49</v>
      </c>
      <c r="Q38">
        <v>45</v>
      </c>
      <c r="R38">
        <v>40</v>
      </c>
      <c r="S38">
        <v>45</v>
      </c>
      <c r="T38">
        <v>41</v>
      </c>
      <c r="U38">
        <v>47</v>
      </c>
      <c r="V38">
        <v>47</v>
      </c>
      <c r="W38">
        <v>50</v>
      </c>
      <c r="X38">
        <v>48</v>
      </c>
      <c r="Y38">
        <v>43</v>
      </c>
      <c r="Z38">
        <v>43</v>
      </c>
      <c r="AA38">
        <v>45</v>
      </c>
      <c r="AB38">
        <v>46</v>
      </c>
      <c r="AC38">
        <v>47</v>
      </c>
      <c r="AD38">
        <v>44</v>
      </c>
      <c r="AE38">
        <v>51</v>
      </c>
      <c r="AF38">
        <v>42</v>
      </c>
      <c r="AG38">
        <v>37</v>
      </c>
      <c r="AH38">
        <v>38</v>
      </c>
      <c r="AI38">
        <v>46</v>
      </c>
      <c r="AJ38">
        <v>51</v>
      </c>
      <c r="AK38">
        <v>42</v>
      </c>
      <c r="AL38">
        <v>47</v>
      </c>
      <c r="AM38">
        <v>43</v>
      </c>
      <c r="AN38">
        <v>43</v>
      </c>
      <c r="AO38">
        <v>39</v>
      </c>
      <c r="AP38">
        <v>47</v>
      </c>
      <c r="AQ38">
        <v>44</v>
      </c>
      <c r="AR38">
        <v>46</v>
      </c>
      <c r="AS38">
        <v>46</v>
      </c>
      <c r="AT38">
        <v>47</v>
      </c>
      <c r="AU38">
        <v>46</v>
      </c>
      <c r="AV38">
        <v>44</v>
      </c>
      <c r="AW38">
        <v>50</v>
      </c>
      <c r="AX38">
        <v>42</v>
      </c>
      <c r="AY38">
        <v>45</v>
      </c>
      <c r="AZ38">
        <v>44</v>
      </c>
      <c r="BA38">
        <v>36</v>
      </c>
      <c r="BB38">
        <v>42</v>
      </c>
      <c r="BC38">
        <v>43</v>
      </c>
      <c r="BD38">
        <v>49</v>
      </c>
      <c r="BE38">
        <v>39</v>
      </c>
      <c r="BF38">
        <v>45</v>
      </c>
      <c r="BG38">
        <v>41</v>
      </c>
      <c r="BH38">
        <v>40</v>
      </c>
      <c r="BI38">
        <v>46</v>
      </c>
      <c r="BJ38">
        <v>39</v>
      </c>
      <c r="BK38">
        <v>51</v>
      </c>
      <c r="BL38">
        <v>44</v>
      </c>
    </row>
    <row r="39" spans="1:64" x14ac:dyDescent="0.25">
      <c r="A39" t="s">
        <v>100</v>
      </c>
      <c r="B39">
        <v>2752</v>
      </c>
      <c r="C39" s="5">
        <v>410.72035400004819</v>
      </c>
      <c r="D39" s="5">
        <v>149.24431468025011</v>
      </c>
      <c r="E39">
        <v>42</v>
      </c>
      <c r="F39">
        <v>36</v>
      </c>
      <c r="G39">
        <v>41</v>
      </c>
      <c r="H39">
        <v>52</v>
      </c>
      <c r="I39">
        <v>45</v>
      </c>
      <c r="J39">
        <v>43</v>
      </c>
      <c r="K39">
        <v>42</v>
      </c>
      <c r="L39">
        <v>40</v>
      </c>
      <c r="M39">
        <v>38</v>
      </c>
      <c r="N39">
        <v>41</v>
      </c>
      <c r="O39">
        <v>43</v>
      </c>
      <c r="P39">
        <v>49</v>
      </c>
      <c r="Q39">
        <v>49</v>
      </c>
      <c r="R39">
        <v>44</v>
      </c>
      <c r="S39">
        <v>46</v>
      </c>
      <c r="T39">
        <v>38</v>
      </c>
      <c r="U39">
        <v>48</v>
      </c>
      <c r="V39">
        <v>40</v>
      </c>
      <c r="W39">
        <v>55</v>
      </c>
      <c r="X39">
        <v>55</v>
      </c>
      <c r="Y39">
        <v>48</v>
      </c>
      <c r="Z39">
        <v>52</v>
      </c>
      <c r="AA39">
        <v>51</v>
      </c>
      <c r="AB39">
        <v>51</v>
      </c>
      <c r="AC39">
        <v>49</v>
      </c>
      <c r="AD39">
        <v>50</v>
      </c>
      <c r="AE39">
        <v>44</v>
      </c>
      <c r="AF39">
        <v>41</v>
      </c>
      <c r="AG39">
        <v>48</v>
      </c>
      <c r="AH39">
        <v>52</v>
      </c>
      <c r="AI39">
        <v>52</v>
      </c>
      <c r="AJ39">
        <v>40</v>
      </c>
      <c r="AK39">
        <v>49</v>
      </c>
      <c r="AL39">
        <v>49</v>
      </c>
      <c r="AM39">
        <v>46</v>
      </c>
      <c r="AN39">
        <v>49</v>
      </c>
      <c r="AO39">
        <v>46</v>
      </c>
      <c r="AP39">
        <v>50</v>
      </c>
      <c r="AQ39">
        <v>43</v>
      </c>
      <c r="AR39">
        <v>50</v>
      </c>
      <c r="AS39">
        <v>43</v>
      </c>
      <c r="AT39">
        <v>46</v>
      </c>
      <c r="AU39">
        <v>43</v>
      </c>
      <c r="AV39">
        <v>42</v>
      </c>
      <c r="AW39">
        <v>40</v>
      </c>
      <c r="AX39">
        <v>43</v>
      </c>
      <c r="AY39">
        <v>48</v>
      </c>
      <c r="AZ39">
        <v>46</v>
      </c>
      <c r="BA39">
        <v>47</v>
      </c>
      <c r="BB39">
        <v>53</v>
      </c>
      <c r="BC39">
        <v>49</v>
      </c>
      <c r="BD39">
        <v>47</v>
      </c>
      <c r="BE39">
        <v>50</v>
      </c>
      <c r="BF39">
        <v>42</v>
      </c>
      <c r="BG39">
        <v>43</v>
      </c>
      <c r="BH39">
        <v>45</v>
      </c>
      <c r="BI39">
        <v>47</v>
      </c>
      <c r="BJ39">
        <v>44</v>
      </c>
      <c r="BK39">
        <v>47</v>
      </c>
      <c r="BL39">
        <v>40</v>
      </c>
    </row>
    <row r="41" spans="1:64" x14ac:dyDescent="0.25">
      <c r="A41" t="s">
        <v>109</v>
      </c>
      <c r="B41">
        <f>SUM(B2:B39)</f>
        <v>95471</v>
      </c>
      <c r="D41" t="s">
        <v>109</v>
      </c>
      <c r="E41">
        <f>SUM(E2:E39)</f>
        <v>1645</v>
      </c>
      <c r="F41">
        <f>SUM(F2:F39)</f>
        <v>1635</v>
      </c>
      <c r="G41">
        <f t="shared" ref="G41:BL41" si="0">SUM(G2:G39)</f>
        <v>1634</v>
      </c>
      <c r="H41">
        <f t="shared" si="0"/>
        <v>1617</v>
      </c>
      <c r="I41">
        <f t="shared" si="0"/>
        <v>1625</v>
      </c>
      <c r="J41">
        <f t="shared" si="0"/>
        <v>1570</v>
      </c>
      <c r="K41">
        <f t="shared" si="0"/>
        <v>1660</v>
      </c>
      <c r="L41">
        <f t="shared" si="0"/>
        <v>1580</v>
      </c>
      <c r="M41">
        <f t="shared" si="0"/>
        <v>1574</v>
      </c>
      <c r="N41">
        <f t="shared" si="0"/>
        <v>1585</v>
      </c>
      <c r="O41">
        <f t="shared" si="0"/>
        <v>1642</v>
      </c>
      <c r="P41">
        <f t="shared" si="0"/>
        <v>1614</v>
      </c>
      <c r="Q41">
        <f t="shared" si="0"/>
        <v>1697</v>
      </c>
      <c r="R41">
        <f t="shared" si="0"/>
        <v>1625</v>
      </c>
      <c r="S41">
        <f t="shared" si="0"/>
        <v>1649</v>
      </c>
      <c r="T41">
        <f t="shared" si="0"/>
        <v>1633</v>
      </c>
      <c r="U41">
        <f t="shared" si="0"/>
        <v>1689</v>
      </c>
      <c r="V41">
        <f t="shared" si="0"/>
        <v>1599</v>
      </c>
      <c r="W41">
        <f t="shared" si="0"/>
        <v>1684</v>
      </c>
      <c r="X41">
        <f t="shared" si="0"/>
        <v>1733</v>
      </c>
      <c r="Y41">
        <f t="shared" si="0"/>
        <v>1600</v>
      </c>
      <c r="Z41">
        <f t="shared" si="0"/>
        <v>1628</v>
      </c>
      <c r="AA41">
        <f t="shared" si="0"/>
        <v>1656</v>
      </c>
      <c r="AB41">
        <f t="shared" si="0"/>
        <v>1597</v>
      </c>
      <c r="AC41">
        <f t="shared" si="0"/>
        <v>1584</v>
      </c>
      <c r="AD41">
        <f t="shared" si="0"/>
        <v>1546</v>
      </c>
      <c r="AE41">
        <f t="shared" si="0"/>
        <v>1615</v>
      </c>
      <c r="AF41">
        <f t="shared" si="0"/>
        <v>1603</v>
      </c>
      <c r="AG41">
        <f t="shared" si="0"/>
        <v>1523</v>
      </c>
      <c r="AH41">
        <f t="shared" si="0"/>
        <v>1535</v>
      </c>
      <c r="AI41">
        <f t="shared" si="0"/>
        <v>1661</v>
      </c>
      <c r="AJ41">
        <f t="shared" si="0"/>
        <v>1572</v>
      </c>
      <c r="AK41">
        <f t="shared" si="0"/>
        <v>1556</v>
      </c>
      <c r="AL41">
        <f t="shared" si="0"/>
        <v>1471</v>
      </c>
      <c r="AM41">
        <f t="shared" si="0"/>
        <v>1587</v>
      </c>
      <c r="AN41">
        <f t="shared" si="0"/>
        <v>1615</v>
      </c>
      <c r="AO41">
        <f t="shared" si="0"/>
        <v>1618</v>
      </c>
      <c r="AP41">
        <f t="shared" si="0"/>
        <v>1524</v>
      </c>
      <c r="AQ41">
        <f t="shared" si="0"/>
        <v>1551</v>
      </c>
      <c r="AR41">
        <f t="shared" si="0"/>
        <v>1559</v>
      </c>
      <c r="AS41">
        <f t="shared" si="0"/>
        <v>1548</v>
      </c>
      <c r="AT41">
        <f t="shared" si="0"/>
        <v>1563</v>
      </c>
      <c r="AU41">
        <f t="shared" si="0"/>
        <v>1556</v>
      </c>
      <c r="AV41">
        <f t="shared" si="0"/>
        <v>1603</v>
      </c>
      <c r="AW41">
        <f t="shared" si="0"/>
        <v>1513</v>
      </c>
      <c r="AX41">
        <f t="shared" si="0"/>
        <v>1572</v>
      </c>
      <c r="AY41">
        <f t="shared" si="0"/>
        <v>1627</v>
      </c>
      <c r="AZ41">
        <f t="shared" si="0"/>
        <v>1548</v>
      </c>
      <c r="BA41">
        <f t="shared" si="0"/>
        <v>1562</v>
      </c>
      <c r="BB41">
        <f t="shared" si="0"/>
        <v>1487</v>
      </c>
      <c r="BC41">
        <f t="shared" si="0"/>
        <v>1548</v>
      </c>
      <c r="BD41">
        <f t="shared" si="0"/>
        <v>1641</v>
      </c>
      <c r="BE41">
        <f t="shared" si="0"/>
        <v>1525</v>
      </c>
      <c r="BF41">
        <f t="shared" si="0"/>
        <v>1531</v>
      </c>
      <c r="BG41">
        <f t="shared" si="0"/>
        <v>1609</v>
      </c>
      <c r="BH41">
        <f t="shared" si="0"/>
        <v>1505</v>
      </c>
      <c r="BI41">
        <f t="shared" si="0"/>
        <v>1585</v>
      </c>
      <c r="BJ41">
        <f t="shared" si="0"/>
        <v>1507</v>
      </c>
      <c r="BK41">
        <f t="shared" si="0"/>
        <v>1616</v>
      </c>
      <c r="BL41">
        <f t="shared" si="0"/>
        <v>1534</v>
      </c>
    </row>
    <row r="42" spans="1:64" x14ac:dyDescent="0.25">
      <c r="A42" t="s">
        <v>111</v>
      </c>
      <c r="B42">
        <f>AVERAGE(B2:B39)</f>
        <v>2512.3947368421054</v>
      </c>
      <c r="D42" t="s">
        <v>110</v>
      </c>
      <c r="E42">
        <f>MIN(E2:E39)</f>
        <v>0</v>
      </c>
      <c r="F42">
        <f t="shared" ref="F42:BK42" si="1">MIN(F2:F39)</f>
        <v>0</v>
      </c>
      <c r="G42">
        <f t="shared" si="1"/>
        <v>0</v>
      </c>
      <c r="H42">
        <f t="shared" si="1"/>
        <v>0</v>
      </c>
      <c r="I42">
        <f t="shared" si="1"/>
        <v>0</v>
      </c>
      <c r="J42">
        <f t="shared" si="1"/>
        <v>0</v>
      </c>
      <c r="K42">
        <f t="shared" si="1"/>
        <v>0</v>
      </c>
      <c r="L42">
        <f t="shared" si="1"/>
        <v>0</v>
      </c>
      <c r="M42">
        <f t="shared" si="1"/>
        <v>0</v>
      </c>
      <c r="N42">
        <f t="shared" si="1"/>
        <v>0</v>
      </c>
      <c r="O42">
        <f t="shared" si="1"/>
        <v>0</v>
      </c>
      <c r="P42">
        <f t="shared" si="1"/>
        <v>0</v>
      </c>
      <c r="Q42">
        <f t="shared" si="1"/>
        <v>0</v>
      </c>
      <c r="R42">
        <f t="shared" si="1"/>
        <v>11</v>
      </c>
      <c r="S42">
        <f t="shared" si="1"/>
        <v>7</v>
      </c>
      <c r="T42">
        <f t="shared" si="1"/>
        <v>6</v>
      </c>
      <c r="U42">
        <f t="shared" si="1"/>
        <v>1</v>
      </c>
      <c r="V42">
        <f t="shared" si="1"/>
        <v>7</v>
      </c>
      <c r="W42">
        <f t="shared" si="1"/>
        <v>3</v>
      </c>
      <c r="X42">
        <f t="shared" si="1"/>
        <v>0</v>
      </c>
      <c r="Y42">
        <f t="shared" si="1"/>
        <v>3</v>
      </c>
      <c r="Z42">
        <f t="shared" si="1"/>
        <v>0</v>
      </c>
      <c r="AA42">
        <f t="shared" si="1"/>
        <v>0</v>
      </c>
      <c r="AB42">
        <f t="shared" si="1"/>
        <v>0</v>
      </c>
      <c r="AC42">
        <f t="shared" si="1"/>
        <v>0</v>
      </c>
      <c r="AD42">
        <f t="shared" si="1"/>
        <v>0</v>
      </c>
      <c r="AE42">
        <f t="shared" si="1"/>
        <v>0</v>
      </c>
      <c r="AF42">
        <f t="shared" si="1"/>
        <v>0</v>
      </c>
      <c r="AG42">
        <f t="shared" si="1"/>
        <v>0</v>
      </c>
      <c r="AH42">
        <f t="shared" si="1"/>
        <v>0</v>
      </c>
      <c r="AI42">
        <f t="shared" si="1"/>
        <v>0</v>
      </c>
      <c r="AJ42">
        <f t="shared" si="1"/>
        <v>0</v>
      </c>
      <c r="AK42">
        <f t="shared" si="1"/>
        <v>0</v>
      </c>
      <c r="AL42">
        <f t="shared" si="1"/>
        <v>0</v>
      </c>
      <c r="AM42">
        <f t="shared" si="1"/>
        <v>0</v>
      </c>
      <c r="AN42">
        <f t="shared" si="1"/>
        <v>0</v>
      </c>
      <c r="AO42">
        <f t="shared" si="1"/>
        <v>0</v>
      </c>
      <c r="AP42">
        <f t="shared" si="1"/>
        <v>0</v>
      </c>
      <c r="AQ42">
        <f t="shared" si="1"/>
        <v>0</v>
      </c>
      <c r="AR42">
        <f t="shared" si="1"/>
        <v>0</v>
      </c>
      <c r="AS42">
        <f t="shared" si="1"/>
        <v>0</v>
      </c>
      <c r="AT42">
        <f t="shared" si="1"/>
        <v>0</v>
      </c>
      <c r="AU42">
        <f t="shared" si="1"/>
        <v>0</v>
      </c>
      <c r="AV42">
        <f t="shared" si="1"/>
        <v>0</v>
      </c>
      <c r="AW42">
        <f t="shared" si="1"/>
        <v>0</v>
      </c>
      <c r="AX42">
        <f t="shared" si="1"/>
        <v>0</v>
      </c>
      <c r="AY42">
        <f t="shared" si="1"/>
        <v>0</v>
      </c>
      <c r="AZ42">
        <f t="shared" si="1"/>
        <v>0</v>
      </c>
      <c r="BA42">
        <f t="shared" si="1"/>
        <v>0</v>
      </c>
      <c r="BB42">
        <f t="shared" si="1"/>
        <v>0</v>
      </c>
      <c r="BC42">
        <f t="shared" si="1"/>
        <v>0</v>
      </c>
      <c r="BD42">
        <f t="shared" si="1"/>
        <v>0</v>
      </c>
      <c r="BE42">
        <f t="shared" si="1"/>
        <v>0</v>
      </c>
      <c r="BF42">
        <f t="shared" si="1"/>
        <v>0</v>
      </c>
      <c r="BG42">
        <f t="shared" si="1"/>
        <v>0</v>
      </c>
      <c r="BH42">
        <f t="shared" si="1"/>
        <v>0</v>
      </c>
      <c r="BI42">
        <f t="shared" si="1"/>
        <v>0</v>
      </c>
      <c r="BJ42">
        <f t="shared" si="1"/>
        <v>0</v>
      </c>
      <c r="BK42">
        <f t="shared" si="1"/>
        <v>0</v>
      </c>
      <c r="BL42">
        <f>MIN(BL2:BL39)</f>
        <v>0</v>
      </c>
    </row>
    <row r="43" spans="1:64" x14ac:dyDescent="0.25">
      <c r="B43" t="s">
        <v>109</v>
      </c>
      <c r="C43" s="5">
        <f>SUM(C2:C39)-C4</f>
        <v>15588.166563991688</v>
      </c>
      <c r="D43" t="s">
        <v>112</v>
      </c>
      <c r="E43">
        <f>MAX(E2:E39)</f>
        <v>55</v>
      </c>
      <c r="F43">
        <f t="shared" ref="F43:BL43" si="2">MAX(F2:F39)</f>
        <v>58</v>
      </c>
      <c r="G43">
        <f t="shared" si="2"/>
        <v>56</v>
      </c>
      <c r="H43">
        <f t="shared" si="2"/>
        <v>57</v>
      </c>
      <c r="I43">
        <f t="shared" si="2"/>
        <v>55</v>
      </c>
      <c r="J43">
        <f t="shared" si="2"/>
        <v>54</v>
      </c>
      <c r="K43">
        <f t="shared" si="2"/>
        <v>55</v>
      </c>
      <c r="L43">
        <f t="shared" si="2"/>
        <v>52</v>
      </c>
      <c r="M43">
        <f t="shared" si="2"/>
        <v>53</v>
      </c>
      <c r="N43">
        <f t="shared" si="2"/>
        <v>56</v>
      </c>
      <c r="O43">
        <f t="shared" si="2"/>
        <v>54</v>
      </c>
      <c r="P43">
        <f t="shared" si="2"/>
        <v>60</v>
      </c>
      <c r="Q43">
        <f t="shared" si="2"/>
        <v>56</v>
      </c>
      <c r="R43">
        <f t="shared" si="2"/>
        <v>56</v>
      </c>
      <c r="S43">
        <f t="shared" si="2"/>
        <v>55</v>
      </c>
      <c r="T43">
        <f t="shared" si="2"/>
        <v>56</v>
      </c>
      <c r="U43">
        <f t="shared" si="2"/>
        <v>56</v>
      </c>
      <c r="V43">
        <f t="shared" si="2"/>
        <v>56</v>
      </c>
      <c r="W43">
        <f t="shared" si="2"/>
        <v>56</v>
      </c>
      <c r="X43">
        <f t="shared" si="2"/>
        <v>59</v>
      </c>
      <c r="Y43">
        <f t="shared" si="2"/>
        <v>55</v>
      </c>
      <c r="Z43">
        <f t="shared" si="2"/>
        <v>60</v>
      </c>
      <c r="AA43">
        <f t="shared" si="2"/>
        <v>56</v>
      </c>
      <c r="AB43">
        <f t="shared" si="2"/>
        <v>59</v>
      </c>
      <c r="AC43">
        <f t="shared" si="2"/>
        <v>55</v>
      </c>
      <c r="AD43">
        <f t="shared" si="2"/>
        <v>53</v>
      </c>
      <c r="AE43">
        <f t="shared" si="2"/>
        <v>61</v>
      </c>
      <c r="AF43">
        <f t="shared" si="2"/>
        <v>58</v>
      </c>
      <c r="AG43">
        <f t="shared" si="2"/>
        <v>58</v>
      </c>
      <c r="AH43">
        <f t="shared" si="2"/>
        <v>55</v>
      </c>
      <c r="AI43">
        <f t="shared" si="2"/>
        <v>62</v>
      </c>
      <c r="AJ43">
        <f t="shared" si="2"/>
        <v>58</v>
      </c>
      <c r="AK43">
        <f t="shared" si="2"/>
        <v>53</v>
      </c>
      <c r="AL43">
        <f t="shared" si="2"/>
        <v>52</v>
      </c>
      <c r="AM43">
        <f t="shared" si="2"/>
        <v>57</v>
      </c>
      <c r="AN43">
        <f t="shared" si="2"/>
        <v>57</v>
      </c>
      <c r="AO43">
        <f t="shared" si="2"/>
        <v>58</v>
      </c>
      <c r="AP43">
        <f t="shared" si="2"/>
        <v>53</v>
      </c>
      <c r="AQ43">
        <f t="shared" si="2"/>
        <v>58</v>
      </c>
      <c r="AR43">
        <f t="shared" si="2"/>
        <v>54</v>
      </c>
      <c r="AS43">
        <f t="shared" si="2"/>
        <v>54</v>
      </c>
      <c r="AT43">
        <f t="shared" si="2"/>
        <v>59</v>
      </c>
      <c r="AU43">
        <f t="shared" si="2"/>
        <v>55</v>
      </c>
      <c r="AV43">
        <f t="shared" si="2"/>
        <v>58</v>
      </c>
      <c r="AW43">
        <f t="shared" si="2"/>
        <v>58</v>
      </c>
      <c r="AX43">
        <f t="shared" si="2"/>
        <v>62</v>
      </c>
      <c r="AY43">
        <f t="shared" si="2"/>
        <v>60</v>
      </c>
      <c r="AZ43">
        <f t="shared" si="2"/>
        <v>54</v>
      </c>
      <c r="BA43">
        <f t="shared" si="2"/>
        <v>54</v>
      </c>
      <c r="BB43">
        <f t="shared" si="2"/>
        <v>53</v>
      </c>
      <c r="BC43">
        <f t="shared" si="2"/>
        <v>57</v>
      </c>
      <c r="BD43">
        <f t="shared" si="2"/>
        <v>57</v>
      </c>
      <c r="BE43">
        <f t="shared" si="2"/>
        <v>55</v>
      </c>
      <c r="BF43">
        <f t="shared" si="2"/>
        <v>54</v>
      </c>
      <c r="BG43">
        <f t="shared" si="2"/>
        <v>58</v>
      </c>
      <c r="BH43">
        <f t="shared" si="2"/>
        <v>54</v>
      </c>
      <c r="BI43">
        <f t="shared" si="2"/>
        <v>57</v>
      </c>
      <c r="BJ43">
        <f t="shared" si="2"/>
        <v>53</v>
      </c>
      <c r="BK43">
        <f t="shared" si="2"/>
        <v>55</v>
      </c>
      <c r="BL43">
        <f t="shared" si="2"/>
        <v>57</v>
      </c>
    </row>
    <row r="44" spans="1:64" x14ac:dyDescent="0.25">
      <c r="D44" t="s">
        <v>113</v>
      </c>
      <c r="E44">
        <f>MEDIAN(E2:E39)</f>
        <v>44.5</v>
      </c>
      <c r="F44">
        <f t="shared" ref="F44:BL44" si="3">MEDIAN(F2:F39)</f>
        <v>46</v>
      </c>
      <c r="G44">
        <f t="shared" si="3"/>
        <v>45</v>
      </c>
      <c r="H44">
        <f t="shared" si="3"/>
        <v>45</v>
      </c>
      <c r="I44">
        <f t="shared" si="3"/>
        <v>45.5</v>
      </c>
      <c r="J44">
        <f t="shared" si="3"/>
        <v>45</v>
      </c>
      <c r="K44">
        <f t="shared" si="3"/>
        <v>48</v>
      </c>
      <c r="L44">
        <f t="shared" si="3"/>
        <v>46</v>
      </c>
      <c r="M44">
        <f t="shared" si="3"/>
        <v>44</v>
      </c>
      <c r="N44">
        <f t="shared" si="3"/>
        <v>44</v>
      </c>
      <c r="O44">
        <f t="shared" si="3"/>
        <v>46.5</v>
      </c>
      <c r="P44">
        <f t="shared" si="3"/>
        <v>44.5</v>
      </c>
      <c r="Q44">
        <f t="shared" si="3"/>
        <v>48.5</v>
      </c>
      <c r="R44">
        <f t="shared" si="3"/>
        <v>44</v>
      </c>
      <c r="S44">
        <f t="shared" si="3"/>
        <v>45.5</v>
      </c>
      <c r="T44">
        <f t="shared" si="3"/>
        <v>46</v>
      </c>
      <c r="U44">
        <f t="shared" si="3"/>
        <v>47</v>
      </c>
      <c r="V44">
        <f t="shared" si="3"/>
        <v>44.5</v>
      </c>
      <c r="W44">
        <f t="shared" si="3"/>
        <v>48</v>
      </c>
      <c r="X44">
        <f t="shared" si="3"/>
        <v>48</v>
      </c>
      <c r="Y44">
        <f t="shared" si="3"/>
        <v>44.5</v>
      </c>
      <c r="Z44">
        <f t="shared" si="3"/>
        <v>46</v>
      </c>
      <c r="AA44">
        <f t="shared" si="3"/>
        <v>47.5</v>
      </c>
      <c r="AB44">
        <f t="shared" si="3"/>
        <v>45.5</v>
      </c>
      <c r="AC44">
        <f t="shared" si="3"/>
        <v>45.5</v>
      </c>
      <c r="AD44">
        <f t="shared" si="3"/>
        <v>44.5</v>
      </c>
      <c r="AE44">
        <f t="shared" si="3"/>
        <v>47</v>
      </c>
      <c r="AF44">
        <f t="shared" si="3"/>
        <v>45</v>
      </c>
      <c r="AG44">
        <f t="shared" si="3"/>
        <v>44</v>
      </c>
      <c r="AH44">
        <f t="shared" si="3"/>
        <v>44.5</v>
      </c>
      <c r="AI44">
        <f t="shared" si="3"/>
        <v>47</v>
      </c>
      <c r="AJ44">
        <f t="shared" si="3"/>
        <v>45</v>
      </c>
      <c r="AK44">
        <f t="shared" si="3"/>
        <v>45</v>
      </c>
      <c r="AL44">
        <f t="shared" si="3"/>
        <v>43.5</v>
      </c>
      <c r="AM44">
        <f t="shared" si="3"/>
        <v>46</v>
      </c>
      <c r="AN44">
        <f t="shared" si="3"/>
        <v>46</v>
      </c>
      <c r="AO44">
        <f t="shared" si="3"/>
        <v>46</v>
      </c>
      <c r="AP44">
        <f t="shared" si="3"/>
        <v>45</v>
      </c>
      <c r="AQ44">
        <f t="shared" si="3"/>
        <v>46.5</v>
      </c>
      <c r="AR44">
        <f t="shared" si="3"/>
        <v>47</v>
      </c>
      <c r="AS44">
        <f t="shared" si="3"/>
        <v>44.5</v>
      </c>
      <c r="AT44">
        <f t="shared" si="3"/>
        <v>45.5</v>
      </c>
      <c r="AU44">
        <f t="shared" si="3"/>
        <v>45.5</v>
      </c>
      <c r="AV44">
        <f t="shared" si="3"/>
        <v>47</v>
      </c>
      <c r="AW44">
        <f t="shared" si="3"/>
        <v>46</v>
      </c>
      <c r="AX44">
        <f t="shared" si="3"/>
        <v>45.5</v>
      </c>
      <c r="AY44">
        <f t="shared" si="3"/>
        <v>47.5</v>
      </c>
      <c r="AZ44">
        <f t="shared" si="3"/>
        <v>46</v>
      </c>
      <c r="BA44">
        <f t="shared" si="3"/>
        <v>45.5</v>
      </c>
      <c r="BB44">
        <f t="shared" si="3"/>
        <v>44</v>
      </c>
      <c r="BC44">
        <f t="shared" si="3"/>
        <v>47</v>
      </c>
      <c r="BD44">
        <f t="shared" si="3"/>
        <v>49</v>
      </c>
      <c r="BE44">
        <f t="shared" si="3"/>
        <v>46</v>
      </c>
      <c r="BF44">
        <f t="shared" si="3"/>
        <v>45</v>
      </c>
      <c r="BG44">
        <f t="shared" si="3"/>
        <v>46</v>
      </c>
      <c r="BH44">
        <f t="shared" si="3"/>
        <v>44</v>
      </c>
      <c r="BI44">
        <f t="shared" si="3"/>
        <v>46.5</v>
      </c>
      <c r="BJ44">
        <f t="shared" si="3"/>
        <v>44.5</v>
      </c>
      <c r="BK44">
        <f t="shared" si="3"/>
        <v>48</v>
      </c>
      <c r="BL44">
        <f t="shared" si="3"/>
        <v>45</v>
      </c>
    </row>
    <row r="45" spans="1:64" x14ac:dyDescent="0.25">
      <c r="D45" t="s">
        <v>111</v>
      </c>
      <c r="E45" s="2">
        <f>AVERAGE(E2:E39)</f>
        <v>43.289473684210527</v>
      </c>
      <c r="F45" s="2">
        <f t="shared" ref="F45:BL45" si="4">AVERAGE(F2:F39)</f>
        <v>43.026315789473685</v>
      </c>
      <c r="G45" s="2">
        <f t="shared" si="4"/>
        <v>43</v>
      </c>
      <c r="H45" s="2">
        <f t="shared" si="4"/>
        <v>42.55263157894737</v>
      </c>
      <c r="I45" s="2">
        <f t="shared" si="4"/>
        <v>42.763157894736842</v>
      </c>
      <c r="J45" s="2">
        <f t="shared" si="4"/>
        <v>41.315789473684212</v>
      </c>
      <c r="K45" s="2">
        <f t="shared" si="4"/>
        <v>43.684210526315788</v>
      </c>
      <c r="L45" s="2">
        <f t="shared" si="4"/>
        <v>41.578947368421055</v>
      </c>
      <c r="M45" s="2">
        <f t="shared" si="4"/>
        <v>41.421052631578945</v>
      </c>
      <c r="N45" s="2">
        <f t="shared" si="4"/>
        <v>41.710526315789473</v>
      </c>
      <c r="O45" s="2">
        <f t="shared" si="4"/>
        <v>43.210526315789473</v>
      </c>
      <c r="P45" s="2">
        <f t="shared" si="4"/>
        <v>42.473684210526315</v>
      </c>
      <c r="Q45" s="2">
        <f t="shared" si="4"/>
        <v>44.657894736842103</v>
      </c>
      <c r="R45" s="2">
        <f t="shared" si="4"/>
        <v>42.763157894736842</v>
      </c>
      <c r="S45" s="2">
        <f t="shared" si="4"/>
        <v>43.39473684210526</v>
      </c>
      <c r="T45" s="2">
        <f t="shared" si="4"/>
        <v>42.973684210526315</v>
      </c>
      <c r="U45" s="2">
        <f t="shared" si="4"/>
        <v>44.44736842105263</v>
      </c>
      <c r="V45" s="2">
        <f t="shared" si="4"/>
        <v>42.078947368421055</v>
      </c>
      <c r="W45" s="2">
        <f t="shared" si="4"/>
        <v>44.315789473684212</v>
      </c>
      <c r="X45" s="2">
        <f t="shared" si="4"/>
        <v>45.60526315789474</v>
      </c>
      <c r="Y45" s="2">
        <f t="shared" si="4"/>
        <v>42.10526315789474</v>
      </c>
      <c r="Z45" s="2">
        <f t="shared" si="4"/>
        <v>42.842105263157897</v>
      </c>
      <c r="AA45" s="2">
        <f t="shared" si="4"/>
        <v>43.578947368421055</v>
      </c>
      <c r="AB45" s="2">
        <f t="shared" si="4"/>
        <v>42.026315789473685</v>
      </c>
      <c r="AC45" s="2">
        <f t="shared" si="4"/>
        <v>41.684210526315788</v>
      </c>
      <c r="AD45" s="2">
        <f t="shared" si="4"/>
        <v>40.684210526315788</v>
      </c>
      <c r="AE45" s="2">
        <f t="shared" si="4"/>
        <v>42.5</v>
      </c>
      <c r="AF45" s="2">
        <f t="shared" si="4"/>
        <v>42.184210526315788</v>
      </c>
      <c r="AG45" s="2">
        <f t="shared" si="4"/>
        <v>40.078947368421055</v>
      </c>
      <c r="AH45" s="2">
        <f t="shared" si="4"/>
        <v>40.39473684210526</v>
      </c>
      <c r="AI45" s="2">
        <f t="shared" si="4"/>
        <v>43.710526315789473</v>
      </c>
      <c r="AJ45" s="2">
        <f t="shared" si="4"/>
        <v>41.368421052631582</v>
      </c>
      <c r="AK45" s="2">
        <f t="shared" si="4"/>
        <v>40.94736842105263</v>
      </c>
      <c r="AL45" s="2">
        <f t="shared" si="4"/>
        <v>38.710526315789473</v>
      </c>
      <c r="AM45" s="2">
        <f t="shared" si="4"/>
        <v>41.763157894736842</v>
      </c>
      <c r="AN45" s="2">
        <f t="shared" si="4"/>
        <v>42.5</v>
      </c>
      <c r="AO45" s="2">
        <f t="shared" si="4"/>
        <v>42.578947368421055</v>
      </c>
      <c r="AP45" s="2">
        <f t="shared" si="4"/>
        <v>40.10526315789474</v>
      </c>
      <c r="AQ45" s="2">
        <f t="shared" si="4"/>
        <v>40.815789473684212</v>
      </c>
      <c r="AR45" s="2">
        <f t="shared" si="4"/>
        <v>41.026315789473685</v>
      </c>
      <c r="AS45" s="2">
        <f t="shared" si="4"/>
        <v>40.736842105263158</v>
      </c>
      <c r="AT45" s="2">
        <f t="shared" si="4"/>
        <v>41.131578947368418</v>
      </c>
      <c r="AU45" s="2">
        <f t="shared" si="4"/>
        <v>40.94736842105263</v>
      </c>
      <c r="AV45" s="2">
        <f t="shared" si="4"/>
        <v>42.184210526315788</v>
      </c>
      <c r="AW45" s="2">
        <f t="shared" si="4"/>
        <v>39.815789473684212</v>
      </c>
      <c r="AX45" s="2">
        <f t="shared" si="4"/>
        <v>41.368421052631582</v>
      </c>
      <c r="AY45" s="2">
        <f t="shared" si="4"/>
        <v>42.815789473684212</v>
      </c>
      <c r="AZ45" s="2">
        <f t="shared" si="4"/>
        <v>40.736842105263158</v>
      </c>
      <c r="BA45" s="2">
        <f t="shared" si="4"/>
        <v>41.10526315789474</v>
      </c>
      <c r="BB45" s="2">
        <f t="shared" si="4"/>
        <v>39.131578947368418</v>
      </c>
      <c r="BC45" s="2">
        <f t="shared" si="4"/>
        <v>40.736842105263158</v>
      </c>
      <c r="BD45" s="2">
        <f t="shared" si="4"/>
        <v>43.184210526315788</v>
      </c>
      <c r="BE45" s="2">
        <f t="shared" si="4"/>
        <v>40.131578947368418</v>
      </c>
      <c r="BF45" s="2">
        <f t="shared" si="4"/>
        <v>40.289473684210527</v>
      </c>
      <c r="BG45" s="2">
        <f t="shared" si="4"/>
        <v>42.342105263157897</v>
      </c>
      <c r="BH45" s="2">
        <f t="shared" si="4"/>
        <v>39.60526315789474</v>
      </c>
      <c r="BI45" s="2">
        <f t="shared" si="4"/>
        <v>41.710526315789473</v>
      </c>
      <c r="BJ45" s="2">
        <f t="shared" si="4"/>
        <v>39.657894736842103</v>
      </c>
      <c r="BK45" s="2">
        <f t="shared" si="4"/>
        <v>42.526315789473685</v>
      </c>
      <c r="BL45" s="2">
        <f t="shared" si="4"/>
        <v>40.368421052631582</v>
      </c>
    </row>
  </sheetData>
  <conditionalFormatting sqref="B2:B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BL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75"/>
  <sheetViews>
    <sheetView topLeftCell="H1" zoomScaleNormal="100" workbookViewId="0">
      <selection activeCell="B8" sqref="B8"/>
    </sheetView>
  </sheetViews>
  <sheetFormatPr baseColWidth="10" defaultColWidth="9.140625" defaultRowHeight="15" x14ac:dyDescent="0.25"/>
  <cols>
    <col min="1" max="1" width="33" customWidth="1"/>
    <col min="2" max="2" width="16" customWidth="1"/>
    <col min="4" max="4" width="9.85546875" bestFit="1" customWidth="1"/>
    <col min="5" max="5" width="20.28515625" bestFit="1" customWidth="1"/>
    <col min="6" max="6" width="10.28515625" bestFit="1" customWidth="1"/>
    <col min="7" max="7" width="10.5703125" bestFit="1" customWidth="1"/>
    <col min="8" max="9" width="12" bestFit="1" customWidth="1"/>
    <col min="11" max="11" width="9.7109375" customWidth="1"/>
    <col min="12" max="12" width="5.7109375" bestFit="1" customWidth="1"/>
    <col min="13" max="22" width="6.7109375" bestFit="1" customWidth="1"/>
    <col min="23" max="23" width="5.7109375" bestFit="1" customWidth="1"/>
    <col min="24" max="33" width="6.7109375" bestFit="1" customWidth="1"/>
    <col min="34" max="34" width="5.7109375" bestFit="1" customWidth="1"/>
    <col min="35" max="43" width="6.7109375" bestFit="1" customWidth="1"/>
    <col min="44" max="49" width="5.7109375" bestFit="1" customWidth="1"/>
  </cols>
  <sheetData>
    <row r="1" spans="1:50" x14ac:dyDescent="0.25">
      <c r="A1" s="1" t="s">
        <v>101</v>
      </c>
      <c r="B1" s="1" t="s">
        <v>102</v>
      </c>
    </row>
    <row r="2" spans="1:50" ht="15.75" thickBot="1" x14ac:dyDescent="0.3">
      <c r="A2" t="s">
        <v>103</v>
      </c>
      <c r="B2">
        <v>38</v>
      </c>
      <c r="D2" s="17" t="s">
        <v>114</v>
      </c>
      <c r="E2" s="17" t="s">
        <v>109</v>
      </c>
      <c r="F2" s="17" t="s">
        <v>110</v>
      </c>
      <c r="G2" s="17" t="s">
        <v>112</v>
      </c>
      <c r="H2" s="17" t="s">
        <v>113</v>
      </c>
      <c r="I2" s="17" t="s">
        <v>111</v>
      </c>
      <c r="K2" s="30" t="s">
        <v>114</v>
      </c>
      <c r="L2" s="17" t="s">
        <v>63</v>
      </c>
      <c r="M2" s="17" t="s">
        <v>64</v>
      </c>
      <c r="N2" s="17" t="s">
        <v>65</v>
      </c>
      <c r="O2" s="17" t="s">
        <v>66</v>
      </c>
      <c r="P2" s="17" t="s">
        <v>67</v>
      </c>
      <c r="Q2" s="17" t="s">
        <v>68</v>
      </c>
      <c r="R2" s="17" t="s">
        <v>69</v>
      </c>
      <c r="S2" s="17" t="s">
        <v>70</v>
      </c>
      <c r="T2" s="17" t="s">
        <v>71</v>
      </c>
      <c r="U2" s="17" t="s">
        <v>72</v>
      </c>
      <c r="V2" s="17" t="s">
        <v>73</v>
      </c>
      <c r="W2" s="17" t="s">
        <v>74</v>
      </c>
      <c r="X2" s="17" t="s">
        <v>75</v>
      </c>
      <c r="Y2" s="17" t="s">
        <v>76</v>
      </c>
      <c r="Z2" s="17" t="s">
        <v>77</v>
      </c>
      <c r="AA2" s="17" t="s">
        <v>78</v>
      </c>
      <c r="AB2" s="17" t="s">
        <v>79</v>
      </c>
      <c r="AC2" s="17" t="s">
        <v>80</v>
      </c>
      <c r="AD2" s="17" t="s">
        <v>81</v>
      </c>
      <c r="AE2" s="17" t="s">
        <v>82</v>
      </c>
      <c r="AF2" s="17" t="s">
        <v>83</v>
      </c>
      <c r="AG2" s="17" t="s">
        <v>84</v>
      </c>
      <c r="AH2" s="17" t="s">
        <v>85</v>
      </c>
      <c r="AI2" s="17" t="s">
        <v>86</v>
      </c>
      <c r="AJ2" s="17" t="s">
        <v>87</v>
      </c>
      <c r="AK2" s="17" t="s">
        <v>88</v>
      </c>
      <c r="AL2" s="17" t="s">
        <v>89</v>
      </c>
      <c r="AM2" s="17" t="s">
        <v>90</v>
      </c>
      <c r="AN2" s="17" t="s">
        <v>91</v>
      </c>
      <c r="AO2" s="17" t="s">
        <v>92</v>
      </c>
      <c r="AP2" s="17" t="s">
        <v>93</v>
      </c>
      <c r="AQ2" s="17" t="s">
        <v>94</v>
      </c>
      <c r="AR2" s="17" t="s">
        <v>95</v>
      </c>
      <c r="AS2" s="17" t="s">
        <v>96</v>
      </c>
      <c r="AT2" s="17" t="s">
        <v>97</v>
      </c>
      <c r="AU2" s="17" t="s">
        <v>98</v>
      </c>
      <c r="AV2" s="17" t="s">
        <v>99</v>
      </c>
      <c r="AW2" s="17" t="s">
        <v>100</v>
      </c>
      <c r="AX2" s="17" t="s">
        <v>109</v>
      </c>
    </row>
    <row r="3" spans="1:50" ht="16.5" thickTop="1" thickBot="1" x14ac:dyDescent="0.3">
      <c r="A3" t="s">
        <v>104</v>
      </c>
      <c r="B3">
        <v>2512.39</v>
      </c>
      <c r="D3" s="22">
        <v>1</v>
      </c>
      <c r="E3" s="23">
        <v>1645</v>
      </c>
      <c r="F3" s="23">
        <v>0</v>
      </c>
      <c r="G3" s="23">
        <v>55</v>
      </c>
      <c r="H3" s="23">
        <v>44.5</v>
      </c>
      <c r="I3" s="23">
        <v>43.289473684210527</v>
      </c>
      <c r="K3" s="22">
        <v>1</v>
      </c>
      <c r="L3" s="23">
        <v>51</v>
      </c>
      <c r="M3" s="23">
        <v>43</v>
      </c>
      <c r="N3" s="23">
        <v>0</v>
      </c>
      <c r="O3" s="23">
        <v>47</v>
      </c>
      <c r="P3" s="23">
        <v>28</v>
      </c>
      <c r="Q3" s="23">
        <v>42</v>
      </c>
      <c r="R3" s="23">
        <v>53</v>
      </c>
      <c r="S3" s="23">
        <v>48</v>
      </c>
      <c r="T3" s="23">
        <v>52</v>
      </c>
      <c r="U3" s="23">
        <v>37</v>
      </c>
      <c r="V3" s="23">
        <v>44</v>
      </c>
      <c r="W3" s="23">
        <v>47</v>
      </c>
      <c r="X3" s="23">
        <v>44</v>
      </c>
      <c r="Y3" s="23">
        <v>51</v>
      </c>
      <c r="Z3" s="23">
        <v>47</v>
      </c>
      <c r="AA3" s="23">
        <v>39</v>
      </c>
      <c r="AB3" s="23">
        <v>55</v>
      </c>
      <c r="AC3" s="23">
        <v>29</v>
      </c>
      <c r="AD3" s="23">
        <v>47</v>
      </c>
      <c r="AE3" s="23">
        <v>42</v>
      </c>
      <c r="AF3" s="23">
        <v>43</v>
      </c>
      <c r="AG3" s="23">
        <v>43</v>
      </c>
      <c r="AH3" s="23">
        <v>48</v>
      </c>
      <c r="AI3" s="23">
        <v>43</v>
      </c>
      <c r="AJ3" s="23">
        <v>44</v>
      </c>
      <c r="AK3" s="23">
        <v>42</v>
      </c>
      <c r="AL3" s="23">
        <v>50</v>
      </c>
      <c r="AM3" s="23">
        <v>45</v>
      </c>
      <c r="AN3" s="23">
        <v>48</v>
      </c>
      <c r="AO3" s="23">
        <v>32</v>
      </c>
      <c r="AP3" s="23">
        <v>45</v>
      </c>
      <c r="AQ3" s="23">
        <v>46</v>
      </c>
      <c r="AR3" s="23">
        <v>43</v>
      </c>
      <c r="AS3" s="23">
        <v>49</v>
      </c>
      <c r="AT3" s="23">
        <v>49</v>
      </c>
      <c r="AU3" s="23">
        <v>42</v>
      </c>
      <c r="AV3" s="23">
        <v>45</v>
      </c>
      <c r="AW3" s="23">
        <v>42</v>
      </c>
      <c r="AX3" s="23">
        <f>SUM(L3:AW3)</f>
        <v>1645</v>
      </c>
    </row>
    <row r="4" spans="1:50" ht="16.5" thickTop="1" thickBot="1" x14ac:dyDescent="0.3">
      <c r="A4" t="s">
        <v>105</v>
      </c>
      <c r="B4">
        <f>AVERAGE(Participants!D2:D39)</f>
        <v>163.58572621468761</v>
      </c>
      <c r="D4" s="24">
        <v>2</v>
      </c>
      <c r="E4" s="21">
        <v>1635</v>
      </c>
      <c r="F4" s="21">
        <v>0</v>
      </c>
      <c r="G4" s="21">
        <v>58</v>
      </c>
      <c r="H4" s="21">
        <v>46</v>
      </c>
      <c r="I4" s="25">
        <v>43.026315789473685</v>
      </c>
      <c r="K4" s="24">
        <v>2</v>
      </c>
      <c r="L4" s="21">
        <v>58</v>
      </c>
      <c r="M4" s="21">
        <v>46</v>
      </c>
      <c r="N4" s="21">
        <v>0</v>
      </c>
      <c r="O4" s="21">
        <v>50</v>
      </c>
      <c r="P4" s="21">
        <v>21</v>
      </c>
      <c r="Q4" s="21">
        <v>38</v>
      </c>
      <c r="R4" s="21">
        <v>50</v>
      </c>
      <c r="S4" s="21">
        <v>38</v>
      </c>
      <c r="T4" s="21">
        <v>54</v>
      </c>
      <c r="U4" s="21">
        <v>43</v>
      </c>
      <c r="V4" s="21">
        <v>44</v>
      </c>
      <c r="W4" s="21">
        <v>48</v>
      </c>
      <c r="X4" s="21">
        <v>42</v>
      </c>
      <c r="Y4" s="21">
        <v>51</v>
      </c>
      <c r="Z4" s="21">
        <v>49</v>
      </c>
      <c r="AA4" s="21">
        <v>45</v>
      </c>
      <c r="AB4" s="21">
        <v>49</v>
      </c>
      <c r="AC4" s="21">
        <v>45</v>
      </c>
      <c r="AD4" s="21">
        <v>46</v>
      </c>
      <c r="AE4" s="21">
        <v>40</v>
      </c>
      <c r="AF4" s="21">
        <v>39</v>
      </c>
      <c r="AG4" s="21">
        <v>46</v>
      </c>
      <c r="AH4" s="21">
        <v>56</v>
      </c>
      <c r="AI4" s="21">
        <v>40</v>
      </c>
      <c r="AJ4" s="21">
        <v>38</v>
      </c>
      <c r="AK4" s="21">
        <v>49</v>
      </c>
      <c r="AL4" s="21">
        <v>50</v>
      </c>
      <c r="AM4" s="21">
        <v>46</v>
      </c>
      <c r="AN4" s="21">
        <v>46</v>
      </c>
      <c r="AO4" s="21">
        <v>44</v>
      </c>
      <c r="AP4" s="21">
        <v>49</v>
      </c>
      <c r="AQ4" s="21">
        <v>27</v>
      </c>
      <c r="AR4" s="21">
        <v>55</v>
      </c>
      <c r="AS4" s="21">
        <v>40</v>
      </c>
      <c r="AT4" s="21">
        <v>48</v>
      </c>
      <c r="AU4" s="21">
        <v>23</v>
      </c>
      <c r="AV4" s="21">
        <v>46</v>
      </c>
      <c r="AW4" s="21">
        <v>36</v>
      </c>
      <c r="AX4" s="23">
        <f t="shared" ref="AX4:AX62" si="0">SUM(L4:AW4)</f>
        <v>1635</v>
      </c>
    </row>
    <row r="5" spans="1:50" ht="16.5" thickTop="1" thickBot="1" x14ac:dyDescent="0.3">
      <c r="A5" t="s">
        <v>106</v>
      </c>
      <c r="B5" t="s">
        <v>134</v>
      </c>
      <c r="D5" s="26">
        <v>3</v>
      </c>
      <c r="E5" s="27">
        <v>1634</v>
      </c>
      <c r="F5" s="27">
        <v>0</v>
      </c>
      <c r="G5" s="27">
        <v>56</v>
      </c>
      <c r="H5" s="27">
        <v>45</v>
      </c>
      <c r="I5" s="28">
        <v>43</v>
      </c>
      <c r="K5" s="26">
        <v>3</v>
      </c>
      <c r="L5" s="27">
        <v>56</v>
      </c>
      <c r="M5" s="27">
        <v>43</v>
      </c>
      <c r="N5" s="27">
        <v>0</v>
      </c>
      <c r="O5" s="27">
        <v>49</v>
      </c>
      <c r="P5" s="27">
        <v>21</v>
      </c>
      <c r="Q5" s="27">
        <v>40</v>
      </c>
      <c r="R5" s="27">
        <v>52</v>
      </c>
      <c r="S5" s="27">
        <v>27</v>
      </c>
      <c r="T5" s="27">
        <v>56</v>
      </c>
      <c r="U5" s="27">
        <v>40</v>
      </c>
      <c r="V5" s="27">
        <v>39</v>
      </c>
      <c r="W5" s="27">
        <v>47</v>
      </c>
      <c r="X5" s="27">
        <v>44</v>
      </c>
      <c r="Y5" s="27">
        <v>50</v>
      </c>
      <c r="Z5" s="27">
        <v>47</v>
      </c>
      <c r="AA5" s="27">
        <v>49</v>
      </c>
      <c r="AB5" s="27">
        <v>50</v>
      </c>
      <c r="AC5" s="27">
        <v>43</v>
      </c>
      <c r="AD5" s="27">
        <v>45</v>
      </c>
      <c r="AE5" s="27">
        <v>39</v>
      </c>
      <c r="AF5" s="27">
        <v>45</v>
      </c>
      <c r="AG5" s="27">
        <v>30</v>
      </c>
      <c r="AH5" s="27">
        <v>48</v>
      </c>
      <c r="AI5" s="27">
        <v>45</v>
      </c>
      <c r="AJ5" s="27">
        <v>53</v>
      </c>
      <c r="AK5" s="27">
        <v>43</v>
      </c>
      <c r="AL5" s="27">
        <v>53</v>
      </c>
      <c r="AM5" s="27">
        <v>42</v>
      </c>
      <c r="AN5" s="27">
        <v>52</v>
      </c>
      <c r="AO5" s="27">
        <v>48</v>
      </c>
      <c r="AP5" s="27">
        <v>39</v>
      </c>
      <c r="AQ5" s="27">
        <v>28</v>
      </c>
      <c r="AR5" s="27">
        <v>49</v>
      </c>
      <c r="AS5" s="27">
        <v>42</v>
      </c>
      <c r="AT5" s="27">
        <v>47</v>
      </c>
      <c r="AU5" s="27">
        <v>40</v>
      </c>
      <c r="AV5" s="27">
        <v>52</v>
      </c>
      <c r="AW5" s="27">
        <v>41</v>
      </c>
      <c r="AX5" s="23">
        <f t="shared" si="0"/>
        <v>1634</v>
      </c>
    </row>
    <row r="6" spans="1:50" ht="16.5" thickTop="1" thickBot="1" x14ac:dyDescent="0.3">
      <c r="A6" t="s">
        <v>107</v>
      </c>
      <c r="B6" t="s">
        <v>135</v>
      </c>
      <c r="D6" s="24">
        <v>4</v>
      </c>
      <c r="E6" s="21">
        <v>1617</v>
      </c>
      <c r="F6" s="21">
        <v>0</v>
      </c>
      <c r="G6" s="21">
        <v>57</v>
      </c>
      <c r="H6" s="21">
        <v>45</v>
      </c>
      <c r="I6" s="25">
        <v>42.55263157894737</v>
      </c>
      <c r="K6" s="24">
        <v>4</v>
      </c>
      <c r="L6" s="21">
        <v>51</v>
      </c>
      <c r="M6" s="21">
        <v>43</v>
      </c>
      <c r="N6" s="21">
        <v>0</v>
      </c>
      <c r="O6" s="21">
        <v>49</v>
      </c>
      <c r="P6" s="21">
        <v>20</v>
      </c>
      <c r="Q6" s="21">
        <v>39</v>
      </c>
      <c r="R6" s="21">
        <v>47</v>
      </c>
      <c r="S6" s="21">
        <v>36</v>
      </c>
      <c r="T6" s="21">
        <v>53</v>
      </c>
      <c r="U6" s="21">
        <v>42</v>
      </c>
      <c r="V6" s="21">
        <v>29</v>
      </c>
      <c r="W6" s="21">
        <v>46</v>
      </c>
      <c r="X6" s="21">
        <v>45</v>
      </c>
      <c r="Y6" s="21">
        <v>47</v>
      </c>
      <c r="Z6" s="21">
        <v>47</v>
      </c>
      <c r="AA6" s="21">
        <v>43</v>
      </c>
      <c r="AB6" s="21">
        <v>52</v>
      </c>
      <c r="AC6" s="21">
        <v>43</v>
      </c>
      <c r="AD6" s="21">
        <v>45</v>
      </c>
      <c r="AE6" s="21">
        <v>40</v>
      </c>
      <c r="AF6" s="21">
        <v>47</v>
      </c>
      <c r="AG6" s="21">
        <v>48</v>
      </c>
      <c r="AH6" s="21">
        <v>50</v>
      </c>
      <c r="AI6" s="21">
        <v>39</v>
      </c>
      <c r="AJ6" s="21">
        <v>47</v>
      </c>
      <c r="AK6" s="21">
        <v>45</v>
      </c>
      <c r="AL6" s="21">
        <v>57</v>
      </c>
      <c r="AM6" s="21">
        <v>42</v>
      </c>
      <c r="AN6" s="21">
        <v>48</v>
      </c>
      <c r="AO6" s="21">
        <v>37</v>
      </c>
      <c r="AP6" s="21">
        <v>45</v>
      </c>
      <c r="AQ6" s="21">
        <v>10</v>
      </c>
      <c r="AR6" s="21">
        <v>45</v>
      </c>
      <c r="AS6" s="21">
        <v>48</v>
      </c>
      <c r="AT6" s="21">
        <v>45</v>
      </c>
      <c r="AU6" s="21">
        <v>46</v>
      </c>
      <c r="AV6" s="21">
        <v>49</v>
      </c>
      <c r="AW6" s="21">
        <v>52</v>
      </c>
      <c r="AX6" s="23">
        <f t="shared" si="0"/>
        <v>1617</v>
      </c>
    </row>
    <row r="7" spans="1:50" ht="16.5" thickTop="1" thickBot="1" x14ac:dyDescent="0.3">
      <c r="A7" t="s">
        <v>108</v>
      </c>
      <c r="B7" t="s">
        <v>136</v>
      </c>
      <c r="D7" s="26">
        <v>5</v>
      </c>
      <c r="E7" s="27">
        <v>1625</v>
      </c>
      <c r="F7" s="27">
        <v>0</v>
      </c>
      <c r="G7" s="27">
        <v>55</v>
      </c>
      <c r="H7" s="27">
        <v>45.5</v>
      </c>
      <c r="I7" s="28">
        <v>42.763157894736842</v>
      </c>
      <c r="K7" s="26">
        <v>5</v>
      </c>
      <c r="L7" s="27">
        <v>44</v>
      </c>
      <c r="M7" s="27">
        <v>40</v>
      </c>
      <c r="N7" s="27">
        <v>0</v>
      </c>
      <c r="O7" s="27">
        <v>49</v>
      </c>
      <c r="P7" s="27">
        <v>16</v>
      </c>
      <c r="Q7" s="27">
        <v>48</v>
      </c>
      <c r="R7" s="27">
        <v>50</v>
      </c>
      <c r="S7" s="27">
        <v>43</v>
      </c>
      <c r="T7" s="27">
        <v>51</v>
      </c>
      <c r="U7" s="27">
        <v>50</v>
      </c>
      <c r="V7" s="27">
        <v>42</v>
      </c>
      <c r="W7" s="27">
        <v>50</v>
      </c>
      <c r="X7" s="27">
        <v>44</v>
      </c>
      <c r="Y7" s="27">
        <v>55</v>
      </c>
      <c r="Z7" s="27">
        <v>48</v>
      </c>
      <c r="AA7" s="27">
        <v>46</v>
      </c>
      <c r="AB7" s="27">
        <v>52</v>
      </c>
      <c r="AC7" s="27">
        <v>37</v>
      </c>
      <c r="AD7" s="27">
        <v>44</v>
      </c>
      <c r="AE7" s="27">
        <v>43</v>
      </c>
      <c r="AF7" s="27">
        <v>41</v>
      </c>
      <c r="AG7" s="27">
        <v>37</v>
      </c>
      <c r="AH7" s="27">
        <v>51</v>
      </c>
      <c r="AI7" s="27">
        <v>45</v>
      </c>
      <c r="AJ7" s="27">
        <v>48</v>
      </c>
      <c r="AK7" s="27">
        <v>46</v>
      </c>
      <c r="AL7" s="27">
        <v>37</v>
      </c>
      <c r="AM7" s="27">
        <v>48</v>
      </c>
      <c r="AN7" s="27">
        <v>48</v>
      </c>
      <c r="AO7" s="27">
        <v>45</v>
      </c>
      <c r="AP7" s="27">
        <v>54</v>
      </c>
      <c r="AQ7" s="27">
        <v>6</v>
      </c>
      <c r="AR7" s="27">
        <v>51</v>
      </c>
      <c r="AS7" s="27">
        <v>42</v>
      </c>
      <c r="AT7" s="27">
        <v>47</v>
      </c>
      <c r="AU7" s="27">
        <v>35</v>
      </c>
      <c r="AV7" s="27">
        <v>47</v>
      </c>
      <c r="AW7" s="27">
        <v>45</v>
      </c>
      <c r="AX7" s="23">
        <f t="shared" si="0"/>
        <v>1625</v>
      </c>
    </row>
    <row r="8" spans="1:50" ht="16.5" thickTop="1" thickBot="1" x14ac:dyDescent="0.3">
      <c r="A8" t="s">
        <v>1</v>
      </c>
      <c r="B8">
        <v>94573</v>
      </c>
      <c r="D8" s="24">
        <v>6</v>
      </c>
      <c r="E8" s="21">
        <v>1570</v>
      </c>
      <c r="F8" s="21">
        <v>0</v>
      </c>
      <c r="G8" s="21">
        <v>54</v>
      </c>
      <c r="H8" s="21">
        <v>45</v>
      </c>
      <c r="I8" s="25">
        <v>41.315789473684212</v>
      </c>
      <c r="K8" s="24">
        <v>6</v>
      </c>
      <c r="L8" s="21">
        <v>53</v>
      </c>
      <c r="M8" s="21">
        <v>39</v>
      </c>
      <c r="N8" s="21">
        <v>0</v>
      </c>
      <c r="O8" s="21">
        <v>46</v>
      </c>
      <c r="P8" s="21">
        <v>32</v>
      </c>
      <c r="Q8" s="21">
        <v>32</v>
      </c>
      <c r="R8" s="21">
        <v>47</v>
      </c>
      <c r="S8" s="21">
        <v>40</v>
      </c>
      <c r="T8" s="21">
        <v>50</v>
      </c>
      <c r="U8" s="21">
        <v>44</v>
      </c>
      <c r="V8" s="21">
        <v>34</v>
      </c>
      <c r="W8" s="21">
        <v>45</v>
      </c>
      <c r="X8" s="21">
        <v>45</v>
      </c>
      <c r="Y8" s="21">
        <v>48</v>
      </c>
      <c r="Z8" s="21">
        <v>45</v>
      </c>
      <c r="AA8" s="21">
        <v>46</v>
      </c>
      <c r="AB8" s="21">
        <v>46</v>
      </c>
      <c r="AC8" s="21">
        <v>36</v>
      </c>
      <c r="AD8" s="21">
        <v>46</v>
      </c>
      <c r="AE8" s="21">
        <v>38</v>
      </c>
      <c r="AF8" s="21">
        <v>37</v>
      </c>
      <c r="AG8" s="21">
        <v>34</v>
      </c>
      <c r="AH8" s="21">
        <v>46</v>
      </c>
      <c r="AI8" s="21">
        <v>37</v>
      </c>
      <c r="AJ8" s="21">
        <v>50</v>
      </c>
      <c r="AK8" s="21">
        <v>40</v>
      </c>
      <c r="AL8" s="21">
        <v>49</v>
      </c>
      <c r="AM8" s="21">
        <v>45</v>
      </c>
      <c r="AN8" s="21">
        <v>49</v>
      </c>
      <c r="AO8" s="21">
        <v>47</v>
      </c>
      <c r="AP8" s="21">
        <v>52</v>
      </c>
      <c r="AQ8" s="21">
        <v>1</v>
      </c>
      <c r="AR8" s="21">
        <v>54</v>
      </c>
      <c r="AS8" s="21">
        <v>39</v>
      </c>
      <c r="AT8" s="21">
        <v>50</v>
      </c>
      <c r="AU8" s="21">
        <v>41</v>
      </c>
      <c r="AV8" s="21">
        <v>44</v>
      </c>
      <c r="AW8" s="21">
        <v>43</v>
      </c>
      <c r="AX8" s="23">
        <f t="shared" si="0"/>
        <v>1570</v>
      </c>
    </row>
    <row r="9" spans="1:50" ht="16.5" thickTop="1" thickBot="1" x14ac:dyDescent="0.3">
      <c r="D9" s="26">
        <v>7</v>
      </c>
      <c r="E9" s="27">
        <v>1660</v>
      </c>
      <c r="F9" s="27">
        <v>0</v>
      </c>
      <c r="G9" s="27">
        <v>55</v>
      </c>
      <c r="H9" s="27">
        <v>48</v>
      </c>
      <c r="I9" s="28">
        <v>43.684210526315788</v>
      </c>
      <c r="K9" s="26">
        <v>7</v>
      </c>
      <c r="L9" s="27">
        <v>55</v>
      </c>
      <c r="M9" s="27">
        <v>49</v>
      </c>
      <c r="N9" s="27">
        <v>0</v>
      </c>
      <c r="O9" s="27">
        <v>54</v>
      </c>
      <c r="P9" s="27">
        <v>25</v>
      </c>
      <c r="Q9" s="27">
        <v>48</v>
      </c>
      <c r="R9" s="27">
        <v>39</v>
      </c>
      <c r="S9" s="27">
        <v>33</v>
      </c>
      <c r="T9" s="27">
        <v>52</v>
      </c>
      <c r="U9" s="27">
        <v>48</v>
      </c>
      <c r="V9" s="27">
        <v>43</v>
      </c>
      <c r="W9" s="27">
        <v>47</v>
      </c>
      <c r="X9" s="27">
        <v>48</v>
      </c>
      <c r="Y9" s="27">
        <v>51</v>
      </c>
      <c r="Z9" s="27">
        <v>54</v>
      </c>
      <c r="AA9" s="27">
        <v>45</v>
      </c>
      <c r="AB9" s="27">
        <v>47</v>
      </c>
      <c r="AC9" s="27">
        <v>13</v>
      </c>
      <c r="AD9" s="27">
        <v>44</v>
      </c>
      <c r="AE9" s="27">
        <v>47</v>
      </c>
      <c r="AF9" s="27">
        <v>48</v>
      </c>
      <c r="AG9" s="27">
        <v>49</v>
      </c>
      <c r="AH9" s="27">
        <v>43</v>
      </c>
      <c r="AI9" s="27">
        <v>48</v>
      </c>
      <c r="AJ9" s="27">
        <v>49</v>
      </c>
      <c r="AK9" s="27">
        <v>48</v>
      </c>
      <c r="AL9" s="27">
        <v>53</v>
      </c>
      <c r="AM9" s="27">
        <v>50</v>
      </c>
      <c r="AN9" s="27">
        <v>48</v>
      </c>
      <c r="AO9" s="27">
        <v>44</v>
      </c>
      <c r="AP9" s="27">
        <v>51</v>
      </c>
      <c r="AQ9" s="27">
        <v>12</v>
      </c>
      <c r="AR9" s="27">
        <v>49</v>
      </c>
      <c r="AS9" s="27">
        <v>48</v>
      </c>
      <c r="AT9" s="27">
        <v>53</v>
      </c>
      <c r="AU9" s="27">
        <v>42</v>
      </c>
      <c r="AV9" s="27">
        <v>41</v>
      </c>
      <c r="AW9" s="27">
        <v>42</v>
      </c>
      <c r="AX9" s="23">
        <f t="shared" si="0"/>
        <v>1660</v>
      </c>
    </row>
    <row r="10" spans="1:50" ht="16.5" thickTop="1" thickBot="1" x14ac:dyDescent="0.3">
      <c r="D10" s="24">
        <v>8</v>
      </c>
      <c r="E10" s="21">
        <v>1580</v>
      </c>
      <c r="F10" s="21">
        <v>0</v>
      </c>
      <c r="G10" s="21">
        <v>52</v>
      </c>
      <c r="H10" s="21">
        <v>46</v>
      </c>
      <c r="I10" s="25">
        <v>41.578947368421055</v>
      </c>
      <c r="K10" s="24">
        <v>8</v>
      </c>
      <c r="L10" s="21">
        <v>52</v>
      </c>
      <c r="M10" s="21">
        <v>36</v>
      </c>
      <c r="N10" s="21">
        <v>0</v>
      </c>
      <c r="O10" s="21">
        <v>52</v>
      </c>
      <c r="P10" s="21">
        <v>23</v>
      </c>
      <c r="Q10" s="21">
        <v>45</v>
      </c>
      <c r="R10" s="21">
        <v>52</v>
      </c>
      <c r="S10" s="21">
        <v>36</v>
      </c>
      <c r="T10" s="21">
        <v>48</v>
      </c>
      <c r="U10" s="21">
        <v>38</v>
      </c>
      <c r="V10" s="21">
        <v>41</v>
      </c>
      <c r="W10" s="21">
        <v>46</v>
      </c>
      <c r="X10" s="21">
        <v>46</v>
      </c>
      <c r="Y10" s="21">
        <v>47</v>
      </c>
      <c r="Z10" s="21">
        <v>46</v>
      </c>
      <c r="AA10" s="21">
        <v>49</v>
      </c>
      <c r="AB10" s="21">
        <v>48</v>
      </c>
      <c r="AC10" s="21">
        <v>8</v>
      </c>
      <c r="AD10" s="21">
        <v>47</v>
      </c>
      <c r="AE10" s="21">
        <v>42</v>
      </c>
      <c r="AF10" s="21">
        <v>46</v>
      </c>
      <c r="AG10" s="21">
        <v>50</v>
      </c>
      <c r="AH10" s="21">
        <v>47</v>
      </c>
      <c r="AI10" s="21">
        <v>49</v>
      </c>
      <c r="AJ10" s="21">
        <v>45</v>
      </c>
      <c r="AK10" s="21">
        <v>38</v>
      </c>
      <c r="AL10" s="21">
        <v>49</v>
      </c>
      <c r="AM10" s="21">
        <v>47</v>
      </c>
      <c r="AN10" s="21">
        <v>43</v>
      </c>
      <c r="AO10" s="21">
        <v>47</v>
      </c>
      <c r="AP10" s="21">
        <v>42</v>
      </c>
      <c r="AQ10" s="21">
        <v>4</v>
      </c>
      <c r="AR10" s="21">
        <v>49</v>
      </c>
      <c r="AS10" s="21">
        <v>47</v>
      </c>
      <c r="AT10" s="21">
        <v>50</v>
      </c>
      <c r="AU10" s="21">
        <v>40</v>
      </c>
      <c r="AV10" s="21">
        <v>45</v>
      </c>
      <c r="AW10" s="21">
        <v>40</v>
      </c>
      <c r="AX10" s="23">
        <f t="shared" si="0"/>
        <v>1580</v>
      </c>
    </row>
    <row r="11" spans="1:50" ht="16.5" thickTop="1" thickBot="1" x14ac:dyDescent="0.3">
      <c r="D11" s="26">
        <v>9</v>
      </c>
      <c r="E11" s="27">
        <v>1574</v>
      </c>
      <c r="F11" s="27">
        <v>0</v>
      </c>
      <c r="G11" s="27">
        <v>53</v>
      </c>
      <c r="H11" s="27">
        <v>44</v>
      </c>
      <c r="I11" s="28">
        <v>41.421052631578945</v>
      </c>
      <c r="K11" s="26">
        <v>9</v>
      </c>
      <c r="L11" s="27">
        <v>49</v>
      </c>
      <c r="M11" s="27">
        <v>40</v>
      </c>
      <c r="N11" s="27">
        <v>0</v>
      </c>
      <c r="O11" s="27">
        <v>52</v>
      </c>
      <c r="P11" s="27">
        <v>24</v>
      </c>
      <c r="Q11" s="27">
        <v>41</v>
      </c>
      <c r="R11" s="27">
        <v>37</v>
      </c>
      <c r="S11" s="27">
        <v>35</v>
      </c>
      <c r="T11" s="27">
        <v>50</v>
      </c>
      <c r="U11" s="27">
        <v>50</v>
      </c>
      <c r="V11" s="27">
        <v>41</v>
      </c>
      <c r="W11" s="27">
        <v>43</v>
      </c>
      <c r="X11" s="27">
        <v>44</v>
      </c>
      <c r="Y11" s="27">
        <v>51</v>
      </c>
      <c r="Z11" s="27">
        <v>49</v>
      </c>
      <c r="AA11" s="27">
        <v>40</v>
      </c>
      <c r="AB11" s="27">
        <v>52</v>
      </c>
      <c r="AC11" s="27">
        <v>18</v>
      </c>
      <c r="AD11" s="27">
        <v>49</v>
      </c>
      <c r="AE11" s="27">
        <v>42</v>
      </c>
      <c r="AF11" s="27">
        <v>44</v>
      </c>
      <c r="AG11" s="27">
        <v>44</v>
      </c>
      <c r="AH11" s="27">
        <v>49</v>
      </c>
      <c r="AI11" s="27">
        <v>47</v>
      </c>
      <c r="AJ11" s="27">
        <v>48</v>
      </c>
      <c r="AK11" s="27">
        <v>44</v>
      </c>
      <c r="AL11" s="27">
        <v>47</v>
      </c>
      <c r="AM11" s="27">
        <v>43</v>
      </c>
      <c r="AN11" s="27">
        <v>47</v>
      </c>
      <c r="AO11" s="27">
        <v>48</v>
      </c>
      <c r="AP11" s="27">
        <v>48</v>
      </c>
      <c r="AQ11" s="27">
        <v>13</v>
      </c>
      <c r="AR11" s="27">
        <v>46</v>
      </c>
      <c r="AS11" s="27">
        <v>45</v>
      </c>
      <c r="AT11" s="27">
        <v>53</v>
      </c>
      <c r="AU11" s="27">
        <v>20</v>
      </c>
      <c r="AV11" s="27">
        <v>43</v>
      </c>
      <c r="AW11" s="27">
        <v>38</v>
      </c>
      <c r="AX11" s="23">
        <f t="shared" si="0"/>
        <v>1574</v>
      </c>
    </row>
    <row r="12" spans="1:50" ht="16.5" thickTop="1" thickBot="1" x14ac:dyDescent="0.3">
      <c r="D12" s="24">
        <v>10</v>
      </c>
      <c r="E12" s="21">
        <v>1585</v>
      </c>
      <c r="F12" s="21">
        <v>0</v>
      </c>
      <c r="G12" s="21">
        <v>56</v>
      </c>
      <c r="H12" s="21">
        <v>44</v>
      </c>
      <c r="I12" s="25">
        <v>41.710526315789473</v>
      </c>
      <c r="K12" s="24">
        <v>10</v>
      </c>
      <c r="L12" s="21">
        <v>56</v>
      </c>
      <c r="M12" s="21">
        <v>37</v>
      </c>
      <c r="N12" s="21">
        <v>0</v>
      </c>
      <c r="O12" s="21">
        <v>53</v>
      </c>
      <c r="P12" s="21">
        <v>29</v>
      </c>
      <c r="Q12" s="21">
        <v>40</v>
      </c>
      <c r="R12" s="21">
        <v>46</v>
      </c>
      <c r="S12" s="21">
        <v>39</v>
      </c>
      <c r="T12" s="21">
        <v>54</v>
      </c>
      <c r="U12" s="21">
        <v>43</v>
      </c>
      <c r="V12" s="21">
        <v>26</v>
      </c>
      <c r="W12" s="21">
        <v>45</v>
      </c>
      <c r="X12" s="21">
        <v>48</v>
      </c>
      <c r="Y12" s="21">
        <v>45</v>
      </c>
      <c r="Z12" s="21">
        <v>44</v>
      </c>
      <c r="AA12" s="21">
        <v>45</v>
      </c>
      <c r="AB12" s="21">
        <v>51</v>
      </c>
      <c r="AC12" s="21">
        <v>5</v>
      </c>
      <c r="AD12" s="21">
        <v>40</v>
      </c>
      <c r="AE12" s="21">
        <v>43</v>
      </c>
      <c r="AF12" s="21">
        <v>42</v>
      </c>
      <c r="AG12" s="21">
        <v>40</v>
      </c>
      <c r="AH12" s="21">
        <v>47</v>
      </c>
      <c r="AI12" s="21">
        <v>45</v>
      </c>
      <c r="AJ12" s="21">
        <v>47</v>
      </c>
      <c r="AK12" s="21">
        <v>52</v>
      </c>
      <c r="AL12" s="21">
        <v>52</v>
      </c>
      <c r="AM12" s="21">
        <v>43</v>
      </c>
      <c r="AN12" s="21">
        <v>49</v>
      </c>
      <c r="AO12" s="21">
        <v>46</v>
      </c>
      <c r="AP12" s="21">
        <v>43</v>
      </c>
      <c r="AQ12" s="21">
        <v>31</v>
      </c>
      <c r="AR12" s="21">
        <v>53</v>
      </c>
      <c r="AS12" s="21">
        <v>48</v>
      </c>
      <c r="AT12" s="21">
        <v>44</v>
      </c>
      <c r="AU12" s="21">
        <v>34</v>
      </c>
      <c r="AV12" s="21">
        <v>39</v>
      </c>
      <c r="AW12" s="21">
        <v>41</v>
      </c>
      <c r="AX12" s="23">
        <f t="shared" si="0"/>
        <v>1585</v>
      </c>
    </row>
    <row r="13" spans="1:50" ht="16.5" thickTop="1" thickBot="1" x14ac:dyDescent="0.3">
      <c r="D13" s="26">
        <v>11</v>
      </c>
      <c r="E13" s="27">
        <v>1642</v>
      </c>
      <c r="F13" s="27">
        <v>0</v>
      </c>
      <c r="G13" s="27">
        <v>54</v>
      </c>
      <c r="H13" s="27">
        <v>46.5</v>
      </c>
      <c r="I13" s="28">
        <v>43.210526315789473</v>
      </c>
      <c r="K13" s="26">
        <v>11</v>
      </c>
      <c r="L13" s="27">
        <v>49</v>
      </c>
      <c r="M13" s="27">
        <v>42</v>
      </c>
      <c r="N13" s="27">
        <v>0</v>
      </c>
      <c r="O13" s="27">
        <v>49</v>
      </c>
      <c r="P13" s="27">
        <v>27</v>
      </c>
      <c r="Q13" s="27">
        <v>42</v>
      </c>
      <c r="R13" s="27">
        <v>51</v>
      </c>
      <c r="S13" s="27">
        <v>25</v>
      </c>
      <c r="T13" s="27">
        <v>54</v>
      </c>
      <c r="U13" s="27">
        <v>48</v>
      </c>
      <c r="V13" s="27">
        <v>42</v>
      </c>
      <c r="W13" s="27">
        <v>45</v>
      </c>
      <c r="X13" s="27">
        <v>41</v>
      </c>
      <c r="Y13" s="27">
        <v>48</v>
      </c>
      <c r="Z13" s="27">
        <v>51</v>
      </c>
      <c r="AA13" s="27">
        <v>44</v>
      </c>
      <c r="AB13" s="27">
        <v>49</v>
      </c>
      <c r="AC13" s="27">
        <v>7</v>
      </c>
      <c r="AD13" s="27">
        <v>45</v>
      </c>
      <c r="AE13" s="27">
        <v>46</v>
      </c>
      <c r="AF13" s="27">
        <v>47</v>
      </c>
      <c r="AG13" s="27">
        <v>53</v>
      </c>
      <c r="AH13" s="27">
        <v>51</v>
      </c>
      <c r="AI13" s="27">
        <v>49</v>
      </c>
      <c r="AJ13" s="27">
        <v>46</v>
      </c>
      <c r="AK13" s="27">
        <v>47</v>
      </c>
      <c r="AL13" s="27">
        <v>52</v>
      </c>
      <c r="AM13" s="27">
        <v>50</v>
      </c>
      <c r="AN13" s="27">
        <v>45</v>
      </c>
      <c r="AO13" s="27">
        <v>47</v>
      </c>
      <c r="AP13" s="27">
        <v>48</v>
      </c>
      <c r="AQ13" s="27">
        <v>39</v>
      </c>
      <c r="AR13" s="27">
        <v>47</v>
      </c>
      <c r="AS13" s="27">
        <v>46</v>
      </c>
      <c r="AT13" s="27">
        <v>50</v>
      </c>
      <c r="AU13" s="27">
        <v>36</v>
      </c>
      <c r="AV13" s="27">
        <v>41</v>
      </c>
      <c r="AW13" s="27">
        <v>43</v>
      </c>
      <c r="AX13" s="23">
        <f t="shared" si="0"/>
        <v>1642</v>
      </c>
    </row>
    <row r="14" spans="1:50" ht="16.5" thickTop="1" thickBot="1" x14ac:dyDescent="0.3">
      <c r="D14" s="24">
        <v>12</v>
      </c>
      <c r="E14" s="21">
        <v>1614</v>
      </c>
      <c r="F14" s="21">
        <v>0</v>
      </c>
      <c r="G14" s="21">
        <v>60</v>
      </c>
      <c r="H14" s="21">
        <v>44.5</v>
      </c>
      <c r="I14" s="25">
        <v>42.473684210526315</v>
      </c>
      <c r="K14" s="24">
        <v>12</v>
      </c>
      <c r="L14" s="21">
        <v>54</v>
      </c>
      <c r="M14" s="21">
        <v>42</v>
      </c>
      <c r="N14" s="21">
        <v>0</v>
      </c>
      <c r="O14" s="21">
        <v>50</v>
      </c>
      <c r="P14" s="21">
        <v>14</v>
      </c>
      <c r="Q14" s="21">
        <v>29</v>
      </c>
      <c r="R14" s="21">
        <v>52</v>
      </c>
      <c r="S14" s="21">
        <v>43</v>
      </c>
      <c r="T14" s="21">
        <v>60</v>
      </c>
      <c r="U14" s="21">
        <v>42</v>
      </c>
      <c r="V14" s="21">
        <v>22</v>
      </c>
      <c r="W14" s="21">
        <v>44</v>
      </c>
      <c r="X14" s="21">
        <v>42</v>
      </c>
      <c r="Y14" s="21">
        <v>49</v>
      </c>
      <c r="Z14" s="21">
        <v>52</v>
      </c>
      <c r="AA14" s="21">
        <v>44</v>
      </c>
      <c r="AB14" s="21">
        <v>45</v>
      </c>
      <c r="AC14" s="21">
        <v>13</v>
      </c>
      <c r="AD14" s="21">
        <v>47</v>
      </c>
      <c r="AE14" s="21">
        <v>40</v>
      </c>
      <c r="AF14" s="21">
        <v>41</v>
      </c>
      <c r="AG14" s="21">
        <v>44</v>
      </c>
      <c r="AH14" s="21">
        <v>47</v>
      </c>
      <c r="AI14" s="21">
        <v>44</v>
      </c>
      <c r="AJ14" s="21">
        <v>50</v>
      </c>
      <c r="AK14" s="21">
        <v>48</v>
      </c>
      <c r="AL14" s="21">
        <v>45</v>
      </c>
      <c r="AM14" s="21">
        <v>42</v>
      </c>
      <c r="AN14" s="21">
        <v>44</v>
      </c>
      <c r="AO14" s="21">
        <v>50</v>
      </c>
      <c r="AP14" s="21">
        <v>48</v>
      </c>
      <c r="AQ14" s="21">
        <v>41</v>
      </c>
      <c r="AR14" s="21">
        <v>46</v>
      </c>
      <c r="AS14" s="21">
        <v>52</v>
      </c>
      <c r="AT14" s="21">
        <v>48</v>
      </c>
      <c r="AU14" s="21">
        <v>42</v>
      </c>
      <c r="AV14" s="21">
        <v>49</v>
      </c>
      <c r="AW14" s="21">
        <v>49</v>
      </c>
      <c r="AX14" s="23">
        <f t="shared" si="0"/>
        <v>1614</v>
      </c>
    </row>
    <row r="15" spans="1:50" ht="16.5" thickTop="1" thickBot="1" x14ac:dyDescent="0.3">
      <c r="D15" s="26">
        <v>13</v>
      </c>
      <c r="E15" s="27">
        <v>1697</v>
      </c>
      <c r="F15" s="27">
        <v>0</v>
      </c>
      <c r="G15" s="27">
        <v>56</v>
      </c>
      <c r="H15" s="27">
        <v>48.5</v>
      </c>
      <c r="I15" s="28">
        <v>44.657894736842103</v>
      </c>
      <c r="K15" s="26">
        <v>13</v>
      </c>
      <c r="L15" s="27">
        <v>43</v>
      </c>
      <c r="M15" s="27">
        <v>39</v>
      </c>
      <c r="N15" s="27">
        <v>0</v>
      </c>
      <c r="O15" s="27">
        <v>52</v>
      </c>
      <c r="P15" s="27">
        <v>23</v>
      </c>
      <c r="Q15" s="27">
        <v>43</v>
      </c>
      <c r="R15" s="27">
        <v>52</v>
      </c>
      <c r="S15" s="27">
        <v>52</v>
      </c>
      <c r="T15" s="27">
        <v>56</v>
      </c>
      <c r="U15" s="27">
        <v>45</v>
      </c>
      <c r="V15" s="27">
        <v>34</v>
      </c>
      <c r="W15" s="27">
        <v>49</v>
      </c>
      <c r="X15" s="27">
        <v>44</v>
      </c>
      <c r="Y15" s="27">
        <v>51</v>
      </c>
      <c r="Z15" s="27">
        <v>51</v>
      </c>
      <c r="AA15" s="27">
        <v>50</v>
      </c>
      <c r="AB15" s="27">
        <v>52</v>
      </c>
      <c r="AC15" s="27">
        <v>7</v>
      </c>
      <c r="AD15" s="27">
        <v>52</v>
      </c>
      <c r="AE15" s="27">
        <v>43</v>
      </c>
      <c r="AF15" s="27">
        <v>48</v>
      </c>
      <c r="AG15" s="27">
        <v>44</v>
      </c>
      <c r="AH15" s="27">
        <v>51</v>
      </c>
      <c r="AI15" s="27">
        <v>48</v>
      </c>
      <c r="AJ15" s="27">
        <v>56</v>
      </c>
      <c r="AK15" s="27">
        <v>54</v>
      </c>
      <c r="AL15" s="27">
        <v>51</v>
      </c>
      <c r="AM15" s="27">
        <v>45</v>
      </c>
      <c r="AN15" s="27">
        <v>48</v>
      </c>
      <c r="AO15" s="27">
        <v>52</v>
      </c>
      <c r="AP15" s="27">
        <v>51</v>
      </c>
      <c r="AQ15" s="27">
        <v>35</v>
      </c>
      <c r="AR15" s="27">
        <v>51</v>
      </c>
      <c r="AS15" s="27">
        <v>45</v>
      </c>
      <c r="AT15" s="27">
        <v>51</v>
      </c>
      <c r="AU15" s="27">
        <v>35</v>
      </c>
      <c r="AV15" s="27">
        <v>45</v>
      </c>
      <c r="AW15" s="27">
        <v>49</v>
      </c>
      <c r="AX15" s="23">
        <f t="shared" si="0"/>
        <v>1697</v>
      </c>
    </row>
    <row r="16" spans="1:50" ht="16.5" thickTop="1" thickBot="1" x14ac:dyDescent="0.3">
      <c r="D16" s="24">
        <v>14</v>
      </c>
      <c r="E16" s="21">
        <v>1625</v>
      </c>
      <c r="F16" s="21">
        <v>11</v>
      </c>
      <c r="G16" s="21">
        <v>56</v>
      </c>
      <c r="H16" s="21">
        <v>44</v>
      </c>
      <c r="I16" s="25">
        <v>42.763157894736842</v>
      </c>
      <c r="K16" s="24">
        <v>14</v>
      </c>
      <c r="L16" s="21">
        <v>52</v>
      </c>
      <c r="M16" s="21">
        <v>29</v>
      </c>
      <c r="N16" s="21">
        <v>38</v>
      </c>
      <c r="O16" s="21">
        <v>46</v>
      </c>
      <c r="P16" s="21">
        <v>25</v>
      </c>
      <c r="Q16" s="21">
        <v>44</v>
      </c>
      <c r="R16" s="21">
        <v>44</v>
      </c>
      <c r="S16" s="21">
        <v>43</v>
      </c>
      <c r="T16" s="21">
        <v>56</v>
      </c>
      <c r="U16" s="21">
        <v>46</v>
      </c>
      <c r="V16" s="21">
        <v>40</v>
      </c>
      <c r="W16" s="21">
        <v>48</v>
      </c>
      <c r="X16" s="21">
        <v>41</v>
      </c>
      <c r="Y16" s="21">
        <v>47</v>
      </c>
      <c r="Z16" s="21">
        <v>50</v>
      </c>
      <c r="AA16" s="21">
        <v>45</v>
      </c>
      <c r="AB16" s="21">
        <v>46</v>
      </c>
      <c r="AC16" s="21">
        <v>11</v>
      </c>
      <c r="AD16" s="21">
        <v>45</v>
      </c>
      <c r="AE16" s="21">
        <v>48</v>
      </c>
      <c r="AF16" s="21">
        <v>44</v>
      </c>
      <c r="AG16" s="21">
        <v>35</v>
      </c>
      <c r="AH16" s="21">
        <v>48</v>
      </c>
      <c r="AI16" s="21">
        <v>41</v>
      </c>
      <c r="AJ16" s="21">
        <v>44</v>
      </c>
      <c r="AK16" s="21">
        <v>45</v>
      </c>
      <c r="AL16" s="21">
        <v>50</v>
      </c>
      <c r="AM16" s="21">
        <v>39</v>
      </c>
      <c r="AN16" s="21">
        <v>47</v>
      </c>
      <c r="AO16" s="21">
        <v>47</v>
      </c>
      <c r="AP16" s="21">
        <v>44</v>
      </c>
      <c r="AQ16" s="21">
        <v>41</v>
      </c>
      <c r="AR16" s="21">
        <v>49</v>
      </c>
      <c r="AS16" s="21">
        <v>45</v>
      </c>
      <c r="AT16" s="21">
        <v>40</v>
      </c>
      <c r="AU16" s="21">
        <v>38</v>
      </c>
      <c r="AV16" s="21">
        <v>40</v>
      </c>
      <c r="AW16" s="21">
        <v>44</v>
      </c>
      <c r="AX16" s="23">
        <f t="shared" si="0"/>
        <v>1625</v>
      </c>
    </row>
    <row r="17" spans="4:50" ht="16.5" thickTop="1" thickBot="1" x14ac:dyDescent="0.3">
      <c r="D17" s="26">
        <v>15</v>
      </c>
      <c r="E17" s="27">
        <v>1649</v>
      </c>
      <c r="F17" s="27">
        <v>7</v>
      </c>
      <c r="G17" s="27">
        <v>55</v>
      </c>
      <c r="H17" s="27">
        <v>45.5</v>
      </c>
      <c r="I17" s="28">
        <v>43.39473684210526</v>
      </c>
      <c r="K17" s="26">
        <v>15</v>
      </c>
      <c r="L17" s="27">
        <v>53</v>
      </c>
      <c r="M17" s="27">
        <v>41</v>
      </c>
      <c r="N17" s="27">
        <v>7</v>
      </c>
      <c r="O17" s="27">
        <v>46</v>
      </c>
      <c r="P17" s="27">
        <v>29</v>
      </c>
      <c r="Q17" s="27">
        <v>39</v>
      </c>
      <c r="R17" s="27">
        <v>55</v>
      </c>
      <c r="S17" s="27">
        <v>36</v>
      </c>
      <c r="T17" s="27">
        <v>51</v>
      </c>
      <c r="U17" s="27">
        <v>45</v>
      </c>
      <c r="V17" s="27">
        <v>44</v>
      </c>
      <c r="W17" s="27">
        <v>48</v>
      </c>
      <c r="X17" s="27">
        <v>41</v>
      </c>
      <c r="Y17" s="27">
        <v>48</v>
      </c>
      <c r="Z17" s="27">
        <v>53</v>
      </c>
      <c r="AA17" s="27">
        <v>43</v>
      </c>
      <c r="AB17" s="27">
        <v>53</v>
      </c>
      <c r="AC17" s="27">
        <v>17</v>
      </c>
      <c r="AD17" s="27">
        <v>46</v>
      </c>
      <c r="AE17" s="27">
        <v>41</v>
      </c>
      <c r="AF17" s="27">
        <v>39</v>
      </c>
      <c r="AG17" s="27">
        <v>46</v>
      </c>
      <c r="AH17" s="27">
        <v>44</v>
      </c>
      <c r="AI17" s="27">
        <v>53</v>
      </c>
      <c r="AJ17" s="27">
        <v>43</v>
      </c>
      <c r="AK17" s="27">
        <v>47</v>
      </c>
      <c r="AL17" s="27">
        <v>51</v>
      </c>
      <c r="AM17" s="27">
        <v>43</v>
      </c>
      <c r="AN17" s="27">
        <v>50</v>
      </c>
      <c r="AO17" s="27">
        <v>50</v>
      </c>
      <c r="AP17" s="27">
        <v>47</v>
      </c>
      <c r="AQ17" s="27">
        <v>23</v>
      </c>
      <c r="AR17" s="27">
        <v>52</v>
      </c>
      <c r="AS17" s="27">
        <v>43</v>
      </c>
      <c r="AT17" s="27">
        <v>48</v>
      </c>
      <c r="AU17" s="27">
        <v>43</v>
      </c>
      <c r="AV17" s="27">
        <v>45</v>
      </c>
      <c r="AW17" s="27">
        <v>46</v>
      </c>
      <c r="AX17" s="23">
        <f t="shared" si="0"/>
        <v>1649</v>
      </c>
    </row>
    <row r="18" spans="4:50" ht="16.5" thickTop="1" thickBot="1" x14ac:dyDescent="0.3">
      <c r="D18" s="24">
        <v>16</v>
      </c>
      <c r="E18" s="21">
        <v>1633</v>
      </c>
      <c r="F18" s="21">
        <v>6</v>
      </c>
      <c r="G18" s="21">
        <v>56</v>
      </c>
      <c r="H18" s="21">
        <v>46</v>
      </c>
      <c r="I18" s="25">
        <v>42.973684210526315</v>
      </c>
      <c r="K18" s="24">
        <v>16</v>
      </c>
      <c r="L18" s="21">
        <v>48</v>
      </c>
      <c r="M18" s="21">
        <v>41</v>
      </c>
      <c r="N18" s="21">
        <v>6</v>
      </c>
      <c r="O18" s="21">
        <v>54</v>
      </c>
      <c r="P18" s="21">
        <v>20</v>
      </c>
      <c r="Q18" s="21">
        <v>50</v>
      </c>
      <c r="R18" s="21">
        <v>50</v>
      </c>
      <c r="S18" s="21">
        <v>46</v>
      </c>
      <c r="T18" s="21">
        <v>50</v>
      </c>
      <c r="U18" s="21">
        <v>45</v>
      </c>
      <c r="V18" s="21">
        <v>39</v>
      </c>
      <c r="W18" s="21">
        <v>43</v>
      </c>
      <c r="X18" s="21">
        <v>46</v>
      </c>
      <c r="Y18" s="21">
        <v>47</v>
      </c>
      <c r="Z18" s="21">
        <v>56</v>
      </c>
      <c r="AA18" s="21">
        <v>37</v>
      </c>
      <c r="AB18" s="21">
        <v>51</v>
      </c>
      <c r="AC18" s="21">
        <v>7</v>
      </c>
      <c r="AD18" s="21">
        <v>42</v>
      </c>
      <c r="AE18" s="21">
        <v>41</v>
      </c>
      <c r="AF18" s="21">
        <v>42</v>
      </c>
      <c r="AG18" s="21">
        <v>43</v>
      </c>
      <c r="AH18" s="21">
        <v>52</v>
      </c>
      <c r="AI18" s="21">
        <v>48</v>
      </c>
      <c r="AJ18" s="21">
        <v>46</v>
      </c>
      <c r="AK18" s="21">
        <v>43</v>
      </c>
      <c r="AL18" s="21">
        <v>55</v>
      </c>
      <c r="AM18" s="21">
        <v>41</v>
      </c>
      <c r="AN18" s="21">
        <v>51</v>
      </c>
      <c r="AO18" s="21">
        <v>49</v>
      </c>
      <c r="AP18" s="21">
        <v>48</v>
      </c>
      <c r="AQ18" s="21">
        <v>30</v>
      </c>
      <c r="AR18" s="21">
        <v>45</v>
      </c>
      <c r="AS18" s="21">
        <v>49</v>
      </c>
      <c r="AT18" s="21">
        <v>46</v>
      </c>
      <c r="AU18" s="21">
        <v>47</v>
      </c>
      <c r="AV18" s="21">
        <v>41</v>
      </c>
      <c r="AW18" s="21">
        <v>38</v>
      </c>
      <c r="AX18" s="23">
        <f t="shared" si="0"/>
        <v>1633</v>
      </c>
    </row>
    <row r="19" spans="4:50" ht="16.5" thickTop="1" thickBot="1" x14ac:dyDescent="0.3">
      <c r="D19" s="26">
        <v>17</v>
      </c>
      <c r="E19" s="27">
        <v>1689</v>
      </c>
      <c r="F19" s="27">
        <v>1</v>
      </c>
      <c r="G19" s="27">
        <v>56</v>
      </c>
      <c r="H19" s="27">
        <v>47</v>
      </c>
      <c r="I19" s="28">
        <v>44.44736842105263</v>
      </c>
      <c r="K19" s="26">
        <v>17</v>
      </c>
      <c r="L19" s="27">
        <v>56</v>
      </c>
      <c r="M19" s="27">
        <v>41</v>
      </c>
      <c r="N19" s="27">
        <v>1</v>
      </c>
      <c r="O19" s="27">
        <v>50</v>
      </c>
      <c r="P19" s="27">
        <v>29</v>
      </c>
      <c r="Q19" s="27">
        <v>44</v>
      </c>
      <c r="R19" s="27">
        <v>47</v>
      </c>
      <c r="S19" s="27">
        <v>47</v>
      </c>
      <c r="T19" s="27">
        <v>54</v>
      </c>
      <c r="U19" s="27">
        <v>47</v>
      </c>
      <c r="V19" s="27">
        <v>46</v>
      </c>
      <c r="W19" s="27">
        <v>50</v>
      </c>
      <c r="X19" s="27">
        <v>43</v>
      </c>
      <c r="Y19" s="27">
        <v>50</v>
      </c>
      <c r="Z19" s="27">
        <v>55</v>
      </c>
      <c r="AA19" s="27">
        <v>33</v>
      </c>
      <c r="AB19" s="27">
        <v>54</v>
      </c>
      <c r="AC19" s="27">
        <v>2</v>
      </c>
      <c r="AD19" s="27">
        <v>45</v>
      </c>
      <c r="AE19" s="27">
        <v>48</v>
      </c>
      <c r="AF19" s="27">
        <v>50</v>
      </c>
      <c r="AG19" s="27">
        <v>49</v>
      </c>
      <c r="AH19" s="27">
        <v>50</v>
      </c>
      <c r="AI19" s="27">
        <v>48</v>
      </c>
      <c r="AJ19" s="27">
        <v>47</v>
      </c>
      <c r="AK19" s="27">
        <v>46</v>
      </c>
      <c r="AL19" s="27">
        <v>49</v>
      </c>
      <c r="AM19" s="27">
        <v>46</v>
      </c>
      <c r="AN19" s="27">
        <v>46</v>
      </c>
      <c r="AO19" s="27">
        <v>53</v>
      </c>
      <c r="AP19" s="27">
        <v>49</v>
      </c>
      <c r="AQ19" s="27">
        <v>31</v>
      </c>
      <c r="AR19" s="27">
        <v>48</v>
      </c>
      <c r="AS19" s="27">
        <v>49</v>
      </c>
      <c r="AT19" s="27">
        <v>47</v>
      </c>
      <c r="AU19" s="27">
        <v>44</v>
      </c>
      <c r="AV19" s="27">
        <v>47</v>
      </c>
      <c r="AW19" s="27">
        <v>48</v>
      </c>
      <c r="AX19" s="23">
        <f t="shared" si="0"/>
        <v>1689</v>
      </c>
    </row>
    <row r="20" spans="4:50" ht="16.5" thickTop="1" thickBot="1" x14ac:dyDescent="0.3">
      <c r="D20" s="24">
        <v>18</v>
      </c>
      <c r="E20" s="21">
        <v>1599</v>
      </c>
      <c r="F20" s="21">
        <v>7</v>
      </c>
      <c r="G20" s="21">
        <v>56</v>
      </c>
      <c r="H20" s="21">
        <v>44.5</v>
      </c>
      <c r="I20" s="25">
        <v>42.078947368421055</v>
      </c>
      <c r="K20" s="24">
        <v>18</v>
      </c>
      <c r="L20" s="21">
        <v>56</v>
      </c>
      <c r="M20" s="21">
        <v>45</v>
      </c>
      <c r="N20" s="21">
        <v>13</v>
      </c>
      <c r="O20" s="21">
        <v>43</v>
      </c>
      <c r="P20" s="21">
        <v>25</v>
      </c>
      <c r="Q20" s="21">
        <v>47</v>
      </c>
      <c r="R20" s="21">
        <v>51</v>
      </c>
      <c r="S20" s="21">
        <v>45</v>
      </c>
      <c r="T20" s="21">
        <v>51</v>
      </c>
      <c r="U20" s="21">
        <v>43</v>
      </c>
      <c r="V20" s="21">
        <v>40</v>
      </c>
      <c r="W20" s="21">
        <v>47</v>
      </c>
      <c r="X20" s="21">
        <v>24</v>
      </c>
      <c r="Y20" s="21">
        <v>43</v>
      </c>
      <c r="Z20" s="21">
        <v>50</v>
      </c>
      <c r="AA20" s="21">
        <v>23</v>
      </c>
      <c r="AB20" s="21">
        <v>47</v>
      </c>
      <c r="AC20" s="21">
        <v>7</v>
      </c>
      <c r="AD20" s="21">
        <v>51</v>
      </c>
      <c r="AE20" s="21">
        <v>43</v>
      </c>
      <c r="AF20" s="21">
        <v>44</v>
      </c>
      <c r="AG20" s="21">
        <v>39</v>
      </c>
      <c r="AH20" s="21">
        <v>45</v>
      </c>
      <c r="AI20" s="21">
        <v>40</v>
      </c>
      <c r="AJ20" s="21">
        <v>51</v>
      </c>
      <c r="AK20" s="21">
        <v>42</v>
      </c>
      <c r="AL20" s="21">
        <v>50</v>
      </c>
      <c r="AM20" s="21">
        <v>42</v>
      </c>
      <c r="AN20" s="21">
        <v>48</v>
      </c>
      <c r="AO20" s="21">
        <v>43</v>
      </c>
      <c r="AP20" s="21">
        <v>39</v>
      </c>
      <c r="AQ20" s="21">
        <v>38</v>
      </c>
      <c r="AR20" s="21">
        <v>50</v>
      </c>
      <c r="AS20" s="21">
        <v>51</v>
      </c>
      <c r="AT20" s="21">
        <v>49</v>
      </c>
      <c r="AU20" s="21">
        <v>47</v>
      </c>
      <c r="AV20" s="21">
        <v>47</v>
      </c>
      <c r="AW20" s="21">
        <v>40</v>
      </c>
      <c r="AX20" s="23">
        <f t="shared" si="0"/>
        <v>1599</v>
      </c>
    </row>
    <row r="21" spans="4:50" ht="16.5" thickTop="1" thickBot="1" x14ac:dyDescent="0.3">
      <c r="D21" s="26">
        <v>19</v>
      </c>
      <c r="E21" s="27">
        <v>1684</v>
      </c>
      <c r="F21" s="27">
        <v>3</v>
      </c>
      <c r="G21" s="27">
        <v>56</v>
      </c>
      <c r="H21" s="27">
        <v>48</v>
      </c>
      <c r="I21" s="28">
        <v>44.315789473684212</v>
      </c>
      <c r="K21" s="26">
        <v>19</v>
      </c>
      <c r="L21" s="27">
        <v>49</v>
      </c>
      <c r="M21" s="27">
        <v>34</v>
      </c>
      <c r="N21" s="27">
        <v>33</v>
      </c>
      <c r="O21" s="27">
        <v>49</v>
      </c>
      <c r="P21" s="27">
        <v>35</v>
      </c>
      <c r="Q21" s="27">
        <v>41</v>
      </c>
      <c r="R21" s="27">
        <v>55</v>
      </c>
      <c r="S21" s="27">
        <v>48</v>
      </c>
      <c r="T21" s="27">
        <v>56</v>
      </c>
      <c r="U21" s="27">
        <v>46</v>
      </c>
      <c r="V21" s="27">
        <v>38</v>
      </c>
      <c r="W21" s="27">
        <v>47</v>
      </c>
      <c r="X21" s="27">
        <v>33</v>
      </c>
      <c r="Y21" s="27">
        <v>48</v>
      </c>
      <c r="Z21" s="27">
        <v>53</v>
      </c>
      <c r="AA21" s="27">
        <v>27</v>
      </c>
      <c r="AB21" s="27">
        <v>45</v>
      </c>
      <c r="AC21" s="27">
        <v>3</v>
      </c>
      <c r="AD21" s="27">
        <v>51</v>
      </c>
      <c r="AE21" s="27">
        <v>42</v>
      </c>
      <c r="AF21" s="27">
        <v>49</v>
      </c>
      <c r="AG21" s="27">
        <v>48</v>
      </c>
      <c r="AH21" s="27">
        <v>51</v>
      </c>
      <c r="AI21" s="27">
        <v>47</v>
      </c>
      <c r="AJ21" s="27">
        <v>48</v>
      </c>
      <c r="AK21" s="27">
        <v>44</v>
      </c>
      <c r="AL21" s="27">
        <v>49</v>
      </c>
      <c r="AM21" s="27">
        <v>38</v>
      </c>
      <c r="AN21" s="27">
        <v>48</v>
      </c>
      <c r="AO21" s="27">
        <v>53</v>
      </c>
      <c r="AP21" s="27">
        <v>48</v>
      </c>
      <c r="AQ21" s="27">
        <v>39</v>
      </c>
      <c r="AR21" s="27">
        <v>53</v>
      </c>
      <c r="AS21" s="27">
        <v>44</v>
      </c>
      <c r="AT21" s="27">
        <v>50</v>
      </c>
      <c r="AU21" s="27">
        <v>37</v>
      </c>
      <c r="AV21" s="27">
        <v>50</v>
      </c>
      <c r="AW21" s="27">
        <v>55</v>
      </c>
      <c r="AX21" s="23">
        <f t="shared" si="0"/>
        <v>1684</v>
      </c>
    </row>
    <row r="22" spans="4:50" ht="16.5" thickTop="1" thickBot="1" x14ac:dyDescent="0.3">
      <c r="D22" s="24">
        <v>20</v>
      </c>
      <c r="E22" s="21">
        <v>1733</v>
      </c>
      <c r="F22" s="21">
        <v>0</v>
      </c>
      <c r="G22" s="21">
        <v>59</v>
      </c>
      <c r="H22" s="21">
        <v>48</v>
      </c>
      <c r="I22" s="25">
        <v>45.60526315789474</v>
      </c>
      <c r="K22" s="24">
        <v>20</v>
      </c>
      <c r="L22" s="21">
        <v>58</v>
      </c>
      <c r="M22" s="21">
        <v>45</v>
      </c>
      <c r="N22" s="21">
        <v>24</v>
      </c>
      <c r="O22" s="21">
        <v>50</v>
      </c>
      <c r="P22" s="21">
        <v>31</v>
      </c>
      <c r="Q22" s="21">
        <v>42</v>
      </c>
      <c r="R22" s="21">
        <v>48</v>
      </c>
      <c r="S22" s="21">
        <v>23</v>
      </c>
      <c r="T22" s="21">
        <v>58</v>
      </c>
      <c r="U22" s="21">
        <v>47</v>
      </c>
      <c r="V22" s="21">
        <v>43</v>
      </c>
      <c r="W22" s="21">
        <v>50</v>
      </c>
      <c r="X22" s="21">
        <v>34</v>
      </c>
      <c r="Y22" s="21">
        <v>51</v>
      </c>
      <c r="Z22" s="21">
        <v>52</v>
      </c>
      <c r="AA22" s="21">
        <v>0</v>
      </c>
      <c r="AB22" s="21">
        <v>59</v>
      </c>
      <c r="AC22" s="21">
        <v>38</v>
      </c>
      <c r="AD22" s="21">
        <v>45</v>
      </c>
      <c r="AE22" s="21">
        <v>48</v>
      </c>
      <c r="AF22" s="21">
        <v>50</v>
      </c>
      <c r="AG22" s="21">
        <v>54</v>
      </c>
      <c r="AH22" s="21">
        <v>48</v>
      </c>
      <c r="AI22" s="21">
        <v>44</v>
      </c>
      <c r="AJ22" s="21">
        <v>48</v>
      </c>
      <c r="AK22" s="21">
        <v>53</v>
      </c>
      <c r="AL22" s="21">
        <v>55</v>
      </c>
      <c r="AM22" s="21">
        <v>48</v>
      </c>
      <c r="AN22" s="21">
        <v>46</v>
      </c>
      <c r="AO22" s="21">
        <v>49</v>
      </c>
      <c r="AP22" s="21">
        <v>54</v>
      </c>
      <c r="AQ22" s="21">
        <v>45</v>
      </c>
      <c r="AR22" s="21">
        <v>57</v>
      </c>
      <c r="AS22" s="21">
        <v>46</v>
      </c>
      <c r="AT22" s="21">
        <v>47</v>
      </c>
      <c r="AU22" s="21">
        <v>40</v>
      </c>
      <c r="AV22" s="21">
        <v>48</v>
      </c>
      <c r="AW22" s="21">
        <v>55</v>
      </c>
      <c r="AX22" s="23">
        <f t="shared" si="0"/>
        <v>1733</v>
      </c>
    </row>
    <row r="23" spans="4:50" ht="16.5" thickTop="1" thickBot="1" x14ac:dyDescent="0.3">
      <c r="D23" s="26">
        <v>21</v>
      </c>
      <c r="E23" s="27">
        <v>1600</v>
      </c>
      <c r="F23" s="27">
        <v>3</v>
      </c>
      <c r="G23" s="27">
        <v>55</v>
      </c>
      <c r="H23" s="27">
        <v>44.5</v>
      </c>
      <c r="I23" s="28">
        <v>42.10526315789474</v>
      </c>
      <c r="K23" s="26">
        <v>21</v>
      </c>
      <c r="L23" s="27">
        <v>55</v>
      </c>
      <c r="M23" s="27">
        <v>33</v>
      </c>
      <c r="N23" s="27">
        <v>3</v>
      </c>
      <c r="O23" s="27">
        <v>51</v>
      </c>
      <c r="P23" s="27">
        <v>22</v>
      </c>
      <c r="Q23" s="27">
        <v>36</v>
      </c>
      <c r="R23" s="27">
        <v>48</v>
      </c>
      <c r="S23" s="27">
        <v>51</v>
      </c>
      <c r="T23" s="27">
        <v>55</v>
      </c>
      <c r="U23" s="27">
        <v>40</v>
      </c>
      <c r="V23" s="27">
        <v>39</v>
      </c>
      <c r="W23" s="27">
        <v>44</v>
      </c>
      <c r="X23" s="27">
        <v>39</v>
      </c>
      <c r="Y23" s="27">
        <v>51</v>
      </c>
      <c r="Z23" s="27">
        <v>51</v>
      </c>
      <c r="AA23" s="27">
        <v>4</v>
      </c>
      <c r="AB23" s="27">
        <v>52</v>
      </c>
      <c r="AC23" s="27">
        <v>36</v>
      </c>
      <c r="AD23" s="27">
        <v>41</v>
      </c>
      <c r="AE23" s="27">
        <v>42</v>
      </c>
      <c r="AF23" s="27">
        <v>46</v>
      </c>
      <c r="AG23" s="27">
        <v>42</v>
      </c>
      <c r="AH23" s="27">
        <v>49</v>
      </c>
      <c r="AI23" s="27">
        <v>42</v>
      </c>
      <c r="AJ23" s="27">
        <v>45</v>
      </c>
      <c r="AK23" s="27">
        <v>40</v>
      </c>
      <c r="AL23" s="27">
        <v>49</v>
      </c>
      <c r="AM23" s="27">
        <v>44</v>
      </c>
      <c r="AN23" s="27">
        <v>46</v>
      </c>
      <c r="AO23" s="27">
        <v>52</v>
      </c>
      <c r="AP23" s="27">
        <v>50</v>
      </c>
      <c r="AQ23" s="27">
        <v>28</v>
      </c>
      <c r="AR23" s="27">
        <v>51</v>
      </c>
      <c r="AS23" s="27">
        <v>39</v>
      </c>
      <c r="AT23" s="27">
        <v>47</v>
      </c>
      <c r="AU23" s="27">
        <v>46</v>
      </c>
      <c r="AV23" s="27">
        <v>43</v>
      </c>
      <c r="AW23" s="27">
        <v>48</v>
      </c>
      <c r="AX23" s="23">
        <f t="shared" si="0"/>
        <v>1600</v>
      </c>
    </row>
    <row r="24" spans="4:50" ht="16.5" thickTop="1" thickBot="1" x14ac:dyDescent="0.3">
      <c r="D24" s="24">
        <v>22</v>
      </c>
      <c r="E24" s="21">
        <v>1628</v>
      </c>
      <c r="F24" s="21">
        <v>0</v>
      </c>
      <c r="G24" s="21">
        <v>60</v>
      </c>
      <c r="H24" s="21">
        <v>46</v>
      </c>
      <c r="I24" s="25">
        <v>42.842105263157897</v>
      </c>
      <c r="K24" s="24">
        <v>22</v>
      </c>
      <c r="L24" s="21">
        <v>50</v>
      </c>
      <c r="M24" s="21">
        <v>45</v>
      </c>
      <c r="N24" s="21">
        <v>12</v>
      </c>
      <c r="O24" s="21">
        <v>51</v>
      </c>
      <c r="P24" s="21">
        <v>34</v>
      </c>
      <c r="Q24" s="21">
        <v>21</v>
      </c>
      <c r="R24" s="21">
        <v>48</v>
      </c>
      <c r="S24" s="21">
        <v>33</v>
      </c>
      <c r="T24" s="21">
        <v>60</v>
      </c>
      <c r="U24" s="21">
        <v>45</v>
      </c>
      <c r="V24" s="21">
        <v>48</v>
      </c>
      <c r="W24" s="21">
        <v>46</v>
      </c>
      <c r="X24" s="21">
        <v>35</v>
      </c>
      <c r="Y24" s="21">
        <v>49</v>
      </c>
      <c r="Z24" s="21">
        <v>47</v>
      </c>
      <c r="AA24" s="21">
        <v>0</v>
      </c>
      <c r="AB24" s="21">
        <v>58</v>
      </c>
      <c r="AC24" s="21">
        <v>14</v>
      </c>
      <c r="AD24" s="21">
        <v>50</v>
      </c>
      <c r="AE24" s="21">
        <v>44</v>
      </c>
      <c r="AF24" s="21">
        <v>48</v>
      </c>
      <c r="AG24" s="21">
        <v>39</v>
      </c>
      <c r="AH24" s="21">
        <v>52</v>
      </c>
      <c r="AI24" s="21">
        <v>42</v>
      </c>
      <c r="AJ24" s="21">
        <v>42</v>
      </c>
      <c r="AK24" s="21">
        <v>46</v>
      </c>
      <c r="AL24" s="21">
        <v>53</v>
      </c>
      <c r="AM24" s="21">
        <v>46</v>
      </c>
      <c r="AN24" s="21">
        <v>52</v>
      </c>
      <c r="AO24" s="21">
        <v>48</v>
      </c>
      <c r="AP24" s="21">
        <v>52</v>
      </c>
      <c r="AQ24" s="21">
        <v>33</v>
      </c>
      <c r="AR24" s="21">
        <v>53</v>
      </c>
      <c r="AS24" s="21">
        <v>46</v>
      </c>
      <c r="AT24" s="21">
        <v>51</v>
      </c>
      <c r="AU24" s="21">
        <v>40</v>
      </c>
      <c r="AV24" s="21">
        <v>43</v>
      </c>
      <c r="AW24" s="21">
        <v>52</v>
      </c>
      <c r="AX24" s="23">
        <f t="shared" si="0"/>
        <v>1628</v>
      </c>
    </row>
    <row r="25" spans="4:50" ht="16.5" thickTop="1" thickBot="1" x14ac:dyDescent="0.3">
      <c r="D25" s="26">
        <v>23</v>
      </c>
      <c r="E25" s="27">
        <v>1656</v>
      </c>
      <c r="F25" s="27">
        <v>0</v>
      </c>
      <c r="G25" s="27">
        <v>56</v>
      </c>
      <c r="H25" s="27">
        <v>47.5</v>
      </c>
      <c r="I25" s="28">
        <v>43.578947368421055</v>
      </c>
      <c r="K25" s="26">
        <v>23</v>
      </c>
      <c r="L25" s="27">
        <v>55</v>
      </c>
      <c r="M25" s="27">
        <v>38</v>
      </c>
      <c r="N25" s="27">
        <v>12</v>
      </c>
      <c r="O25" s="27">
        <v>55</v>
      </c>
      <c r="P25" s="27">
        <v>30</v>
      </c>
      <c r="Q25" s="27">
        <v>37</v>
      </c>
      <c r="R25" s="27">
        <v>51</v>
      </c>
      <c r="S25" s="27">
        <v>37</v>
      </c>
      <c r="T25" s="27">
        <v>55</v>
      </c>
      <c r="U25" s="27">
        <v>47</v>
      </c>
      <c r="V25" s="27">
        <v>42</v>
      </c>
      <c r="W25" s="27">
        <v>45</v>
      </c>
      <c r="X25" s="27">
        <v>50</v>
      </c>
      <c r="Y25" s="27">
        <v>49</v>
      </c>
      <c r="Z25" s="27">
        <v>54</v>
      </c>
      <c r="AA25" s="27">
        <v>0</v>
      </c>
      <c r="AB25" s="27">
        <v>51</v>
      </c>
      <c r="AC25" s="27">
        <v>2</v>
      </c>
      <c r="AD25" s="27">
        <v>48</v>
      </c>
      <c r="AE25" s="27">
        <v>43</v>
      </c>
      <c r="AF25" s="27">
        <v>47</v>
      </c>
      <c r="AG25" s="27">
        <v>48</v>
      </c>
      <c r="AH25" s="27">
        <v>47</v>
      </c>
      <c r="AI25" s="27">
        <v>43</v>
      </c>
      <c r="AJ25" s="27">
        <v>41</v>
      </c>
      <c r="AK25" s="27">
        <v>56</v>
      </c>
      <c r="AL25" s="27">
        <v>52</v>
      </c>
      <c r="AM25" s="27">
        <v>48</v>
      </c>
      <c r="AN25" s="27">
        <v>49</v>
      </c>
      <c r="AO25" s="27">
        <v>52</v>
      </c>
      <c r="AP25" s="27">
        <v>44</v>
      </c>
      <c r="AQ25" s="27">
        <v>36</v>
      </c>
      <c r="AR25" s="27">
        <v>53</v>
      </c>
      <c r="AS25" s="27">
        <v>49</v>
      </c>
      <c r="AT25" s="27">
        <v>51</v>
      </c>
      <c r="AU25" s="27">
        <v>43</v>
      </c>
      <c r="AV25" s="27">
        <v>45</v>
      </c>
      <c r="AW25" s="27">
        <v>51</v>
      </c>
      <c r="AX25" s="23">
        <f t="shared" si="0"/>
        <v>1656</v>
      </c>
    </row>
    <row r="26" spans="4:50" ht="16.5" thickTop="1" thickBot="1" x14ac:dyDescent="0.3">
      <c r="D26" s="24">
        <v>24</v>
      </c>
      <c r="E26" s="21">
        <v>1597</v>
      </c>
      <c r="F26" s="21">
        <v>0</v>
      </c>
      <c r="G26" s="21">
        <v>59</v>
      </c>
      <c r="H26" s="21">
        <v>45.5</v>
      </c>
      <c r="I26" s="25">
        <v>42.026315789473685</v>
      </c>
      <c r="K26" s="24">
        <v>24</v>
      </c>
      <c r="L26" s="21">
        <v>55</v>
      </c>
      <c r="M26" s="21">
        <v>33</v>
      </c>
      <c r="N26" s="21">
        <v>3</v>
      </c>
      <c r="O26" s="21">
        <v>47</v>
      </c>
      <c r="P26" s="21">
        <v>30</v>
      </c>
      <c r="Q26" s="21">
        <v>44</v>
      </c>
      <c r="R26" s="21">
        <v>49</v>
      </c>
      <c r="S26" s="21">
        <v>46</v>
      </c>
      <c r="T26" s="21">
        <v>42</v>
      </c>
      <c r="U26" s="21">
        <v>45</v>
      </c>
      <c r="V26" s="21">
        <v>43</v>
      </c>
      <c r="W26" s="21">
        <v>46</v>
      </c>
      <c r="X26" s="21">
        <v>42</v>
      </c>
      <c r="Y26" s="21">
        <v>46</v>
      </c>
      <c r="Z26" s="21">
        <v>48</v>
      </c>
      <c r="AA26" s="21">
        <v>0</v>
      </c>
      <c r="AB26" s="21">
        <v>49</v>
      </c>
      <c r="AC26" s="21">
        <v>26</v>
      </c>
      <c r="AD26" s="21">
        <v>48</v>
      </c>
      <c r="AE26" s="21">
        <v>42</v>
      </c>
      <c r="AF26" s="21">
        <v>42</v>
      </c>
      <c r="AG26" s="21">
        <v>37</v>
      </c>
      <c r="AH26" s="21">
        <v>51</v>
      </c>
      <c r="AI26" s="21">
        <v>59</v>
      </c>
      <c r="AJ26" s="21">
        <v>41</v>
      </c>
      <c r="AK26" s="21">
        <v>45</v>
      </c>
      <c r="AL26" s="21">
        <v>45</v>
      </c>
      <c r="AM26" s="21">
        <v>46</v>
      </c>
      <c r="AN26" s="21">
        <v>50</v>
      </c>
      <c r="AO26" s="21">
        <v>49</v>
      </c>
      <c r="AP26" s="21">
        <v>45</v>
      </c>
      <c r="AQ26" s="21">
        <v>35</v>
      </c>
      <c r="AR26" s="21">
        <v>49</v>
      </c>
      <c r="AS26" s="21">
        <v>46</v>
      </c>
      <c r="AT26" s="21">
        <v>47</v>
      </c>
      <c r="AU26" s="21">
        <v>29</v>
      </c>
      <c r="AV26" s="21">
        <v>46</v>
      </c>
      <c r="AW26" s="21">
        <v>51</v>
      </c>
      <c r="AX26" s="23">
        <f t="shared" si="0"/>
        <v>1597</v>
      </c>
    </row>
    <row r="27" spans="4:50" ht="16.5" thickTop="1" thickBot="1" x14ac:dyDescent="0.3">
      <c r="D27" s="26">
        <v>25</v>
      </c>
      <c r="E27" s="27">
        <v>1584</v>
      </c>
      <c r="F27" s="27">
        <v>0</v>
      </c>
      <c r="G27" s="27">
        <v>55</v>
      </c>
      <c r="H27" s="27">
        <v>45.5</v>
      </c>
      <c r="I27" s="28">
        <v>41.684210526315788</v>
      </c>
      <c r="K27" s="26">
        <v>25</v>
      </c>
      <c r="L27" s="27">
        <v>55</v>
      </c>
      <c r="M27" s="27">
        <v>39</v>
      </c>
      <c r="N27" s="27">
        <v>0</v>
      </c>
      <c r="O27" s="27">
        <v>50</v>
      </c>
      <c r="P27" s="27">
        <v>29</v>
      </c>
      <c r="Q27" s="27">
        <v>41</v>
      </c>
      <c r="R27" s="27">
        <v>49</v>
      </c>
      <c r="S27" s="27">
        <v>32</v>
      </c>
      <c r="T27" s="27">
        <v>50</v>
      </c>
      <c r="U27" s="27">
        <v>45</v>
      </c>
      <c r="V27" s="27">
        <v>45</v>
      </c>
      <c r="W27" s="27">
        <v>48</v>
      </c>
      <c r="X27" s="27">
        <v>47</v>
      </c>
      <c r="Y27" s="27">
        <v>50</v>
      </c>
      <c r="Z27" s="27">
        <v>45</v>
      </c>
      <c r="AA27" s="27">
        <v>0</v>
      </c>
      <c r="AB27" s="27">
        <v>47</v>
      </c>
      <c r="AC27" s="27">
        <v>4</v>
      </c>
      <c r="AD27" s="27">
        <v>48</v>
      </c>
      <c r="AE27" s="27">
        <v>45</v>
      </c>
      <c r="AF27" s="27">
        <v>44</v>
      </c>
      <c r="AG27" s="27">
        <v>51</v>
      </c>
      <c r="AH27" s="27">
        <v>48</v>
      </c>
      <c r="AI27" s="27">
        <v>40</v>
      </c>
      <c r="AJ27" s="27">
        <v>52</v>
      </c>
      <c r="AK27" s="27">
        <v>50</v>
      </c>
      <c r="AL27" s="27">
        <v>52</v>
      </c>
      <c r="AM27" s="27">
        <v>44</v>
      </c>
      <c r="AN27" s="27">
        <v>47</v>
      </c>
      <c r="AO27" s="27">
        <v>50</v>
      </c>
      <c r="AP27" s="27">
        <v>39</v>
      </c>
      <c r="AQ27" s="27">
        <v>26</v>
      </c>
      <c r="AR27" s="27">
        <v>45</v>
      </c>
      <c r="AS27" s="27">
        <v>46</v>
      </c>
      <c r="AT27" s="27">
        <v>44</v>
      </c>
      <c r="AU27" s="27">
        <v>41</v>
      </c>
      <c r="AV27" s="27">
        <v>47</v>
      </c>
      <c r="AW27" s="27">
        <v>49</v>
      </c>
      <c r="AX27" s="23">
        <f t="shared" si="0"/>
        <v>1584</v>
      </c>
    </row>
    <row r="28" spans="4:50" ht="16.5" thickTop="1" thickBot="1" x14ac:dyDescent="0.3">
      <c r="D28" s="24">
        <v>26</v>
      </c>
      <c r="E28" s="21">
        <v>1546</v>
      </c>
      <c r="F28" s="21">
        <v>0</v>
      </c>
      <c r="G28" s="21">
        <v>53</v>
      </c>
      <c r="H28" s="21">
        <v>44.5</v>
      </c>
      <c r="I28" s="25">
        <v>40.684210526315788</v>
      </c>
      <c r="K28" s="24">
        <v>26</v>
      </c>
      <c r="L28" s="21">
        <v>48</v>
      </c>
      <c r="M28" s="21">
        <v>32</v>
      </c>
      <c r="N28" s="21">
        <v>0</v>
      </c>
      <c r="O28" s="21">
        <v>47</v>
      </c>
      <c r="P28" s="21">
        <v>31</v>
      </c>
      <c r="Q28" s="21">
        <v>40</v>
      </c>
      <c r="R28" s="21">
        <v>53</v>
      </c>
      <c r="S28" s="21">
        <v>37</v>
      </c>
      <c r="T28" s="21">
        <v>52</v>
      </c>
      <c r="U28" s="21">
        <v>42</v>
      </c>
      <c r="V28" s="21">
        <v>42</v>
      </c>
      <c r="W28" s="21">
        <v>46</v>
      </c>
      <c r="X28" s="21">
        <v>33</v>
      </c>
      <c r="Y28" s="21">
        <v>52</v>
      </c>
      <c r="Z28" s="21">
        <v>50</v>
      </c>
      <c r="AA28" s="21">
        <v>0</v>
      </c>
      <c r="AB28" s="21">
        <v>53</v>
      </c>
      <c r="AC28" s="21">
        <v>4</v>
      </c>
      <c r="AD28" s="21">
        <v>49</v>
      </c>
      <c r="AE28" s="21">
        <v>41</v>
      </c>
      <c r="AF28" s="21">
        <v>47</v>
      </c>
      <c r="AG28" s="21">
        <v>36</v>
      </c>
      <c r="AH28" s="21">
        <v>48</v>
      </c>
      <c r="AI28" s="21">
        <v>49</v>
      </c>
      <c r="AJ28" s="21">
        <v>45</v>
      </c>
      <c r="AK28" s="21">
        <v>37</v>
      </c>
      <c r="AL28" s="21">
        <v>44</v>
      </c>
      <c r="AM28" s="21">
        <v>44</v>
      </c>
      <c r="AN28" s="21">
        <v>46</v>
      </c>
      <c r="AO28" s="21">
        <v>44</v>
      </c>
      <c r="AP28" s="21">
        <v>47</v>
      </c>
      <c r="AQ28" s="21">
        <v>29</v>
      </c>
      <c r="AR28" s="21">
        <v>49</v>
      </c>
      <c r="AS28" s="21">
        <v>49</v>
      </c>
      <c r="AT28" s="21">
        <v>49</v>
      </c>
      <c r="AU28" s="21">
        <v>37</v>
      </c>
      <c r="AV28" s="21">
        <v>44</v>
      </c>
      <c r="AW28" s="21">
        <v>50</v>
      </c>
      <c r="AX28" s="23">
        <f t="shared" si="0"/>
        <v>1546</v>
      </c>
    </row>
    <row r="29" spans="4:50" ht="16.5" thickTop="1" thickBot="1" x14ac:dyDescent="0.3">
      <c r="D29" s="26">
        <v>27</v>
      </c>
      <c r="E29" s="27">
        <v>1615</v>
      </c>
      <c r="F29" s="27">
        <v>0</v>
      </c>
      <c r="G29" s="27">
        <v>61</v>
      </c>
      <c r="H29" s="27">
        <v>47</v>
      </c>
      <c r="I29" s="28">
        <v>42.5</v>
      </c>
      <c r="K29" s="26">
        <v>27</v>
      </c>
      <c r="L29" s="27">
        <v>61</v>
      </c>
      <c r="M29" s="27">
        <v>44</v>
      </c>
      <c r="N29" s="27">
        <v>12</v>
      </c>
      <c r="O29" s="27">
        <v>50</v>
      </c>
      <c r="P29" s="27">
        <v>32</v>
      </c>
      <c r="Q29" s="27">
        <v>42</v>
      </c>
      <c r="R29" s="27">
        <v>49</v>
      </c>
      <c r="S29" s="27">
        <v>43</v>
      </c>
      <c r="T29" s="27">
        <v>49</v>
      </c>
      <c r="U29" s="27">
        <v>47</v>
      </c>
      <c r="V29" s="27">
        <v>45</v>
      </c>
      <c r="W29" s="27">
        <v>48</v>
      </c>
      <c r="X29" s="27">
        <v>43</v>
      </c>
      <c r="Y29" s="27">
        <v>55</v>
      </c>
      <c r="Z29" s="27">
        <v>50</v>
      </c>
      <c r="AA29" s="27">
        <v>0</v>
      </c>
      <c r="AB29" s="27">
        <v>54</v>
      </c>
      <c r="AC29" s="27">
        <v>6</v>
      </c>
      <c r="AD29" s="27">
        <v>48</v>
      </c>
      <c r="AE29" s="27">
        <v>41</v>
      </c>
      <c r="AF29" s="27">
        <v>37</v>
      </c>
      <c r="AG29" s="27">
        <v>20</v>
      </c>
      <c r="AH29" s="27">
        <v>44</v>
      </c>
      <c r="AI29" s="27">
        <v>51</v>
      </c>
      <c r="AJ29" s="27">
        <v>44</v>
      </c>
      <c r="AK29" s="27">
        <v>50</v>
      </c>
      <c r="AL29" s="27">
        <v>53</v>
      </c>
      <c r="AM29" s="27">
        <v>44</v>
      </c>
      <c r="AN29" s="27">
        <v>49</v>
      </c>
      <c r="AO29" s="27">
        <v>47</v>
      </c>
      <c r="AP29" s="27">
        <v>48</v>
      </c>
      <c r="AQ29" s="27">
        <v>26</v>
      </c>
      <c r="AR29" s="27">
        <v>48</v>
      </c>
      <c r="AS29" s="27">
        <v>49</v>
      </c>
      <c r="AT29" s="27">
        <v>51</v>
      </c>
      <c r="AU29" s="27">
        <v>40</v>
      </c>
      <c r="AV29" s="27">
        <v>51</v>
      </c>
      <c r="AW29" s="27">
        <v>44</v>
      </c>
      <c r="AX29" s="23">
        <f t="shared" si="0"/>
        <v>1615</v>
      </c>
    </row>
    <row r="30" spans="4:50" ht="16.5" thickTop="1" thickBot="1" x14ac:dyDescent="0.3">
      <c r="D30" s="24">
        <v>28</v>
      </c>
      <c r="E30" s="21">
        <v>1603</v>
      </c>
      <c r="F30" s="21">
        <v>0</v>
      </c>
      <c r="G30" s="21">
        <v>58</v>
      </c>
      <c r="H30" s="21">
        <v>45</v>
      </c>
      <c r="I30" s="25">
        <v>42.184210526315788</v>
      </c>
      <c r="K30" s="24">
        <v>28</v>
      </c>
      <c r="L30" s="21">
        <v>58</v>
      </c>
      <c r="M30" s="21">
        <v>52</v>
      </c>
      <c r="N30" s="21">
        <v>18</v>
      </c>
      <c r="O30" s="21">
        <v>46</v>
      </c>
      <c r="P30" s="21">
        <v>22</v>
      </c>
      <c r="Q30" s="21">
        <v>43</v>
      </c>
      <c r="R30" s="21">
        <v>54</v>
      </c>
      <c r="S30" s="21">
        <v>45</v>
      </c>
      <c r="T30" s="21">
        <v>56</v>
      </c>
      <c r="U30" s="21">
        <v>42</v>
      </c>
      <c r="V30" s="21">
        <v>48</v>
      </c>
      <c r="W30" s="21">
        <v>44</v>
      </c>
      <c r="X30" s="21">
        <v>45</v>
      </c>
      <c r="Y30" s="21">
        <v>55</v>
      </c>
      <c r="Z30" s="21">
        <v>58</v>
      </c>
      <c r="AA30" s="21">
        <v>0</v>
      </c>
      <c r="AB30" s="21">
        <v>51</v>
      </c>
      <c r="AC30" s="21">
        <v>1</v>
      </c>
      <c r="AD30" s="21">
        <v>48</v>
      </c>
      <c r="AE30" s="21">
        <v>43</v>
      </c>
      <c r="AF30" s="21">
        <v>45</v>
      </c>
      <c r="AG30" s="21">
        <v>36</v>
      </c>
      <c r="AH30" s="21">
        <v>48</v>
      </c>
      <c r="AI30" s="21">
        <v>55</v>
      </c>
      <c r="AJ30" s="21">
        <v>40</v>
      </c>
      <c r="AK30" s="21">
        <v>48</v>
      </c>
      <c r="AL30" s="21">
        <v>53</v>
      </c>
      <c r="AM30" s="21">
        <v>42</v>
      </c>
      <c r="AN30" s="21">
        <v>49</v>
      </c>
      <c r="AO30" s="21">
        <v>50</v>
      </c>
      <c r="AP30" s="21">
        <v>41</v>
      </c>
      <c r="AQ30" s="21">
        <v>19</v>
      </c>
      <c r="AR30" s="21">
        <v>50</v>
      </c>
      <c r="AS30" s="21">
        <v>48</v>
      </c>
      <c r="AT30" s="21">
        <v>43</v>
      </c>
      <c r="AU30" s="21">
        <v>24</v>
      </c>
      <c r="AV30" s="21">
        <v>42</v>
      </c>
      <c r="AW30" s="21">
        <v>41</v>
      </c>
      <c r="AX30" s="23">
        <f t="shared" si="0"/>
        <v>1603</v>
      </c>
    </row>
    <row r="31" spans="4:50" ht="16.5" thickTop="1" thickBot="1" x14ac:dyDescent="0.3">
      <c r="D31" s="26">
        <v>29</v>
      </c>
      <c r="E31" s="27">
        <v>1523</v>
      </c>
      <c r="F31" s="27">
        <v>0</v>
      </c>
      <c r="G31" s="27">
        <v>58</v>
      </c>
      <c r="H31" s="27">
        <v>44</v>
      </c>
      <c r="I31" s="28">
        <v>40.078947368421055</v>
      </c>
      <c r="K31" s="26">
        <v>29</v>
      </c>
      <c r="L31" s="27">
        <v>57</v>
      </c>
      <c r="M31" s="27">
        <v>44</v>
      </c>
      <c r="N31" s="27">
        <v>0</v>
      </c>
      <c r="O31" s="27">
        <v>45</v>
      </c>
      <c r="P31" s="27">
        <v>25</v>
      </c>
      <c r="Q31" s="27">
        <v>45</v>
      </c>
      <c r="R31" s="27">
        <v>52</v>
      </c>
      <c r="S31" s="27">
        <v>41</v>
      </c>
      <c r="T31" s="27">
        <v>58</v>
      </c>
      <c r="U31" s="27">
        <v>42</v>
      </c>
      <c r="V31" s="27">
        <v>43</v>
      </c>
      <c r="W31" s="27">
        <v>44</v>
      </c>
      <c r="X31" s="27">
        <v>39</v>
      </c>
      <c r="Y31" s="27">
        <v>48</v>
      </c>
      <c r="Z31" s="27">
        <v>49</v>
      </c>
      <c r="AA31" s="27">
        <v>0</v>
      </c>
      <c r="AB31" s="27">
        <v>50</v>
      </c>
      <c r="AC31" s="27">
        <v>0</v>
      </c>
      <c r="AD31" s="27">
        <v>48</v>
      </c>
      <c r="AE31" s="27">
        <v>42</v>
      </c>
      <c r="AF31" s="27">
        <v>45</v>
      </c>
      <c r="AG31" s="27">
        <v>37</v>
      </c>
      <c r="AH31" s="27">
        <v>46</v>
      </c>
      <c r="AI31" s="27">
        <v>43</v>
      </c>
      <c r="AJ31" s="27">
        <v>41</v>
      </c>
      <c r="AK31" s="27">
        <v>43</v>
      </c>
      <c r="AL31" s="27">
        <v>44</v>
      </c>
      <c r="AM31" s="27">
        <v>42</v>
      </c>
      <c r="AN31" s="27">
        <v>46</v>
      </c>
      <c r="AO31" s="27">
        <v>43</v>
      </c>
      <c r="AP31" s="27">
        <v>45</v>
      </c>
      <c r="AQ31" s="27">
        <v>13</v>
      </c>
      <c r="AR31" s="27">
        <v>45</v>
      </c>
      <c r="AS31" s="27">
        <v>41</v>
      </c>
      <c r="AT31" s="27">
        <v>48</v>
      </c>
      <c r="AU31" s="27">
        <v>44</v>
      </c>
      <c r="AV31" s="27">
        <v>37</v>
      </c>
      <c r="AW31" s="27">
        <v>48</v>
      </c>
      <c r="AX31" s="23">
        <f t="shared" si="0"/>
        <v>1523</v>
      </c>
    </row>
    <row r="32" spans="4:50" ht="16.5" thickTop="1" thickBot="1" x14ac:dyDescent="0.3">
      <c r="D32" s="24">
        <v>30</v>
      </c>
      <c r="E32" s="21">
        <v>1535</v>
      </c>
      <c r="F32" s="21">
        <v>0</v>
      </c>
      <c r="G32" s="21">
        <v>55</v>
      </c>
      <c r="H32" s="21">
        <v>44.5</v>
      </c>
      <c r="I32" s="25">
        <v>40.39473684210526</v>
      </c>
      <c r="K32" s="24">
        <v>30</v>
      </c>
      <c r="L32" s="21">
        <v>47</v>
      </c>
      <c r="M32" s="21">
        <v>28</v>
      </c>
      <c r="N32" s="21">
        <v>1</v>
      </c>
      <c r="O32" s="21">
        <v>51</v>
      </c>
      <c r="P32" s="21">
        <v>24</v>
      </c>
      <c r="Q32" s="21">
        <v>40</v>
      </c>
      <c r="R32" s="21">
        <v>51</v>
      </c>
      <c r="S32" s="21">
        <v>27</v>
      </c>
      <c r="T32" s="21">
        <v>55</v>
      </c>
      <c r="U32" s="21">
        <v>49</v>
      </c>
      <c r="V32" s="21">
        <v>36</v>
      </c>
      <c r="W32" s="21">
        <v>45</v>
      </c>
      <c r="X32" s="21">
        <v>39</v>
      </c>
      <c r="Y32" s="21">
        <v>50</v>
      </c>
      <c r="Z32" s="21">
        <v>48</v>
      </c>
      <c r="AA32" s="21">
        <v>0</v>
      </c>
      <c r="AB32" s="21">
        <v>41</v>
      </c>
      <c r="AC32" s="21">
        <v>0</v>
      </c>
      <c r="AD32" s="21">
        <v>55</v>
      </c>
      <c r="AE32" s="21">
        <v>43</v>
      </c>
      <c r="AF32" s="21">
        <v>44</v>
      </c>
      <c r="AG32" s="21">
        <v>48</v>
      </c>
      <c r="AH32" s="21">
        <v>46</v>
      </c>
      <c r="AI32" s="21">
        <v>52</v>
      </c>
      <c r="AJ32" s="21">
        <v>45</v>
      </c>
      <c r="AK32" s="21">
        <v>44</v>
      </c>
      <c r="AL32" s="21">
        <v>42</v>
      </c>
      <c r="AM32" s="21">
        <v>36</v>
      </c>
      <c r="AN32" s="21">
        <v>51</v>
      </c>
      <c r="AO32" s="21">
        <v>46</v>
      </c>
      <c r="AP32" s="21">
        <v>46</v>
      </c>
      <c r="AQ32" s="21">
        <v>35</v>
      </c>
      <c r="AR32" s="21">
        <v>48</v>
      </c>
      <c r="AS32" s="21">
        <v>38</v>
      </c>
      <c r="AT32" s="21">
        <v>54</v>
      </c>
      <c r="AU32" s="21">
        <v>40</v>
      </c>
      <c r="AV32" s="21">
        <v>38</v>
      </c>
      <c r="AW32" s="21">
        <v>52</v>
      </c>
      <c r="AX32" s="23">
        <f t="shared" si="0"/>
        <v>1535</v>
      </c>
    </row>
    <row r="33" spans="4:50" ht="16.5" thickTop="1" thickBot="1" x14ac:dyDescent="0.3">
      <c r="D33" s="26">
        <v>31</v>
      </c>
      <c r="E33" s="27">
        <v>1661</v>
      </c>
      <c r="F33" s="27">
        <v>0</v>
      </c>
      <c r="G33" s="27">
        <v>62</v>
      </c>
      <c r="H33" s="27">
        <v>47</v>
      </c>
      <c r="I33" s="28">
        <v>43.710526315789473</v>
      </c>
      <c r="K33" s="26">
        <v>31</v>
      </c>
      <c r="L33" s="27">
        <v>56</v>
      </c>
      <c r="M33" s="27">
        <v>49</v>
      </c>
      <c r="N33" s="27">
        <v>2</v>
      </c>
      <c r="O33" s="27">
        <v>52</v>
      </c>
      <c r="P33" s="27">
        <v>28</v>
      </c>
      <c r="Q33" s="27">
        <v>47</v>
      </c>
      <c r="R33" s="27">
        <v>52</v>
      </c>
      <c r="S33" s="27">
        <v>21</v>
      </c>
      <c r="T33" s="27">
        <v>62</v>
      </c>
      <c r="U33" s="27">
        <v>41</v>
      </c>
      <c r="V33" s="27">
        <v>49</v>
      </c>
      <c r="W33" s="27">
        <v>51</v>
      </c>
      <c r="X33" s="27">
        <v>43</v>
      </c>
      <c r="Y33" s="27">
        <v>53</v>
      </c>
      <c r="Z33" s="27">
        <v>52</v>
      </c>
      <c r="AA33" s="27">
        <v>0</v>
      </c>
      <c r="AB33" s="27">
        <v>46</v>
      </c>
      <c r="AC33" s="27">
        <v>3</v>
      </c>
      <c r="AD33" s="27">
        <v>47</v>
      </c>
      <c r="AE33" s="27">
        <v>43</v>
      </c>
      <c r="AF33" s="27">
        <v>43</v>
      </c>
      <c r="AG33" s="27">
        <v>51</v>
      </c>
      <c r="AH33" s="27">
        <v>54</v>
      </c>
      <c r="AI33" s="27">
        <v>53</v>
      </c>
      <c r="AJ33" s="27">
        <v>47</v>
      </c>
      <c r="AK33" s="27">
        <v>43</v>
      </c>
      <c r="AL33" s="27">
        <v>53</v>
      </c>
      <c r="AM33" s="27">
        <v>49</v>
      </c>
      <c r="AN33" s="27">
        <v>55</v>
      </c>
      <c r="AO33" s="27">
        <v>47</v>
      </c>
      <c r="AP33" s="27">
        <v>44</v>
      </c>
      <c r="AQ33" s="27">
        <v>40</v>
      </c>
      <c r="AR33" s="27">
        <v>52</v>
      </c>
      <c r="AS33" s="27">
        <v>47</v>
      </c>
      <c r="AT33" s="27">
        <v>44</v>
      </c>
      <c r="AU33" s="27">
        <v>44</v>
      </c>
      <c r="AV33" s="27">
        <v>46</v>
      </c>
      <c r="AW33" s="27">
        <v>52</v>
      </c>
      <c r="AX33" s="23">
        <f t="shared" si="0"/>
        <v>1661</v>
      </c>
    </row>
    <row r="34" spans="4:50" ht="16.5" thickTop="1" thickBot="1" x14ac:dyDescent="0.3">
      <c r="D34" s="24">
        <v>32</v>
      </c>
      <c r="E34" s="21">
        <v>1572</v>
      </c>
      <c r="F34" s="21">
        <v>0</v>
      </c>
      <c r="G34" s="21">
        <v>58</v>
      </c>
      <c r="H34" s="21">
        <v>45</v>
      </c>
      <c r="I34" s="25">
        <v>41.368421052631582</v>
      </c>
      <c r="K34" s="24">
        <v>32</v>
      </c>
      <c r="L34" s="21">
        <v>50</v>
      </c>
      <c r="M34" s="21">
        <v>42</v>
      </c>
      <c r="N34" s="21">
        <v>0</v>
      </c>
      <c r="O34" s="21">
        <v>47</v>
      </c>
      <c r="P34" s="21">
        <v>24</v>
      </c>
      <c r="Q34" s="21">
        <v>41</v>
      </c>
      <c r="R34" s="21">
        <v>45</v>
      </c>
      <c r="S34" s="21">
        <v>34</v>
      </c>
      <c r="T34" s="21">
        <v>50</v>
      </c>
      <c r="U34" s="21">
        <v>43</v>
      </c>
      <c r="V34" s="21">
        <v>42</v>
      </c>
      <c r="W34" s="21">
        <v>46</v>
      </c>
      <c r="X34" s="21">
        <v>44</v>
      </c>
      <c r="Y34" s="21">
        <v>48</v>
      </c>
      <c r="Z34" s="21">
        <v>58</v>
      </c>
      <c r="AA34" s="21">
        <v>0</v>
      </c>
      <c r="AB34" s="21">
        <v>49</v>
      </c>
      <c r="AC34" s="21">
        <v>0</v>
      </c>
      <c r="AD34" s="21">
        <v>52</v>
      </c>
      <c r="AE34" s="21">
        <v>45</v>
      </c>
      <c r="AF34" s="21">
        <v>41</v>
      </c>
      <c r="AG34" s="21">
        <v>47</v>
      </c>
      <c r="AH34" s="21">
        <v>52</v>
      </c>
      <c r="AI34" s="21">
        <v>51</v>
      </c>
      <c r="AJ34" s="21">
        <v>41</v>
      </c>
      <c r="AK34" s="21">
        <v>44</v>
      </c>
      <c r="AL34" s="21">
        <v>46</v>
      </c>
      <c r="AM34" s="21">
        <v>45</v>
      </c>
      <c r="AN34" s="21">
        <v>45</v>
      </c>
      <c r="AO34" s="21">
        <v>47</v>
      </c>
      <c r="AP34" s="21">
        <v>38</v>
      </c>
      <c r="AQ34" s="21">
        <v>39</v>
      </c>
      <c r="AR34" s="21">
        <v>49</v>
      </c>
      <c r="AS34" s="21">
        <v>40</v>
      </c>
      <c r="AT34" s="21">
        <v>47</v>
      </c>
      <c r="AU34" s="21">
        <v>49</v>
      </c>
      <c r="AV34" s="21">
        <v>51</v>
      </c>
      <c r="AW34" s="21">
        <v>40</v>
      </c>
      <c r="AX34" s="23">
        <f t="shared" si="0"/>
        <v>1572</v>
      </c>
    </row>
    <row r="35" spans="4:50" ht="16.5" thickTop="1" thickBot="1" x14ac:dyDescent="0.3">
      <c r="D35" s="26">
        <v>33</v>
      </c>
      <c r="E35" s="27">
        <v>1556</v>
      </c>
      <c r="F35" s="27">
        <v>0</v>
      </c>
      <c r="G35" s="27">
        <v>53</v>
      </c>
      <c r="H35" s="27">
        <v>45</v>
      </c>
      <c r="I35" s="28">
        <v>40.94736842105263</v>
      </c>
      <c r="K35" s="26">
        <v>33</v>
      </c>
      <c r="L35" s="27">
        <v>47</v>
      </c>
      <c r="M35" s="27">
        <v>40</v>
      </c>
      <c r="N35" s="27">
        <v>22</v>
      </c>
      <c r="O35" s="27">
        <v>47</v>
      </c>
      <c r="P35" s="27">
        <v>25</v>
      </c>
      <c r="Q35" s="27">
        <v>31</v>
      </c>
      <c r="R35" s="27">
        <v>49</v>
      </c>
      <c r="S35" s="27">
        <v>41</v>
      </c>
      <c r="T35" s="27">
        <v>49</v>
      </c>
      <c r="U35" s="27">
        <v>45</v>
      </c>
      <c r="V35" s="27">
        <v>46</v>
      </c>
      <c r="W35" s="27">
        <v>46</v>
      </c>
      <c r="X35" s="27">
        <v>41</v>
      </c>
      <c r="Y35" s="27">
        <v>45</v>
      </c>
      <c r="Z35" s="27">
        <v>48</v>
      </c>
      <c r="AA35" s="27">
        <v>0</v>
      </c>
      <c r="AB35" s="27">
        <v>47</v>
      </c>
      <c r="AC35" s="27">
        <v>2</v>
      </c>
      <c r="AD35" s="27">
        <v>51</v>
      </c>
      <c r="AE35" s="27">
        <v>41</v>
      </c>
      <c r="AF35" s="27">
        <v>42</v>
      </c>
      <c r="AG35" s="27">
        <v>37</v>
      </c>
      <c r="AH35" s="27">
        <v>53</v>
      </c>
      <c r="AI35" s="27">
        <v>45</v>
      </c>
      <c r="AJ35" s="27">
        <v>49</v>
      </c>
      <c r="AK35" s="27">
        <v>46</v>
      </c>
      <c r="AL35" s="27">
        <v>50</v>
      </c>
      <c r="AM35" s="27">
        <v>44</v>
      </c>
      <c r="AN35" s="27">
        <v>44</v>
      </c>
      <c r="AO35" s="27">
        <v>43</v>
      </c>
      <c r="AP35" s="27">
        <v>43</v>
      </c>
      <c r="AQ35" s="27">
        <v>7</v>
      </c>
      <c r="AR35" s="27">
        <v>48</v>
      </c>
      <c r="AS35" s="27">
        <v>50</v>
      </c>
      <c r="AT35" s="27">
        <v>49</v>
      </c>
      <c r="AU35" s="27">
        <v>52</v>
      </c>
      <c r="AV35" s="27">
        <v>42</v>
      </c>
      <c r="AW35" s="27">
        <v>49</v>
      </c>
      <c r="AX35" s="23">
        <f t="shared" si="0"/>
        <v>1556</v>
      </c>
    </row>
    <row r="36" spans="4:50" ht="16.5" thickTop="1" thickBot="1" x14ac:dyDescent="0.3">
      <c r="D36" s="24">
        <v>34</v>
      </c>
      <c r="E36" s="21">
        <v>1471</v>
      </c>
      <c r="F36" s="21">
        <v>0</v>
      </c>
      <c r="G36" s="21">
        <v>52</v>
      </c>
      <c r="H36" s="21">
        <v>43.5</v>
      </c>
      <c r="I36" s="25">
        <v>38.710526315789473</v>
      </c>
      <c r="K36" s="24">
        <v>34</v>
      </c>
      <c r="L36" s="21">
        <v>51</v>
      </c>
      <c r="M36" s="21">
        <v>35</v>
      </c>
      <c r="N36" s="21">
        <v>0</v>
      </c>
      <c r="O36" s="21">
        <v>47</v>
      </c>
      <c r="P36" s="21">
        <v>16</v>
      </c>
      <c r="Q36" s="21">
        <v>43</v>
      </c>
      <c r="R36" s="21">
        <v>45</v>
      </c>
      <c r="S36" s="21">
        <v>33</v>
      </c>
      <c r="T36" s="21">
        <v>44</v>
      </c>
      <c r="U36" s="21">
        <v>37</v>
      </c>
      <c r="V36" s="21">
        <v>43</v>
      </c>
      <c r="W36" s="21">
        <v>43</v>
      </c>
      <c r="X36" s="21">
        <v>38</v>
      </c>
      <c r="Y36" s="21">
        <v>45</v>
      </c>
      <c r="Z36" s="21">
        <v>49</v>
      </c>
      <c r="AA36" s="21">
        <v>0</v>
      </c>
      <c r="AB36" s="21">
        <v>52</v>
      </c>
      <c r="AC36" s="21">
        <v>0</v>
      </c>
      <c r="AD36" s="21">
        <v>44</v>
      </c>
      <c r="AE36" s="21">
        <v>41</v>
      </c>
      <c r="AF36" s="21">
        <v>46</v>
      </c>
      <c r="AG36" s="21">
        <v>40</v>
      </c>
      <c r="AH36" s="21">
        <v>42</v>
      </c>
      <c r="AI36" s="21">
        <v>39</v>
      </c>
      <c r="AJ36" s="21">
        <v>44</v>
      </c>
      <c r="AK36" s="21">
        <v>45</v>
      </c>
      <c r="AL36" s="21">
        <v>50</v>
      </c>
      <c r="AM36" s="21">
        <v>45</v>
      </c>
      <c r="AN36" s="21">
        <v>46</v>
      </c>
      <c r="AO36" s="21">
        <v>41</v>
      </c>
      <c r="AP36" s="21">
        <v>42</v>
      </c>
      <c r="AQ36" s="21">
        <v>12</v>
      </c>
      <c r="AR36" s="21">
        <v>44</v>
      </c>
      <c r="AS36" s="21">
        <v>44</v>
      </c>
      <c r="AT36" s="21">
        <v>43</v>
      </c>
      <c r="AU36" s="21">
        <v>46</v>
      </c>
      <c r="AV36" s="21">
        <v>47</v>
      </c>
      <c r="AW36" s="21">
        <v>49</v>
      </c>
      <c r="AX36" s="23">
        <f t="shared" si="0"/>
        <v>1471</v>
      </c>
    </row>
    <row r="37" spans="4:50" ht="16.5" thickTop="1" thickBot="1" x14ac:dyDescent="0.3">
      <c r="D37" s="26">
        <v>35</v>
      </c>
      <c r="E37" s="27">
        <v>1587</v>
      </c>
      <c r="F37" s="27">
        <v>0</v>
      </c>
      <c r="G37" s="27">
        <v>57</v>
      </c>
      <c r="H37" s="27">
        <v>46</v>
      </c>
      <c r="I37" s="28">
        <v>41.763157894736842</v>
      </c>
      <c r="K37" s="26">
        <v>35</v>
      </c>
      <c r="L37" s="27">
        <v>42</v>
      </c>
      <c r="M37" s="27">
        <v>44</v>
      </c>
      <c r="N37" s="27">
        <v>0</v>
      </c>
      <c r="O37" s="27">
        <v>45</v>
      </c>
      <c r="P37" s="27">
        <v>37</v>
      </c>
      <c r="Q37" s="27">
        <v>41</v>
      </c>
      <c r="R37" s="27">
        <v>49</v>
      </c>
      <c r="S37" s="27">
        <v>29</v>
      </c>
      <c r="T37" s="27">
        <v>55</v>
      </c>
      <c r="U37" s="27">
        <v>34</v>
      </c>
      <c r="V37" s="27">
        <v>47</v>
      </c>
      <c r="W37" s="27">
        <v>46</v>
      </c>
      <c r="X37" s="27">
        <v>44</v>
      </c>
      <c r="Y37" s="27">
        <v>45</v>
      </c>
      <c r="Z37" s="27">
        <v>55</v>
      </c>
      <c r="AA37" s="27">
        <v>0</v>
      </c>
      <c r="AB37" s="27">
        <v>50</v>
      </c>
      <c r="AC37" s="27">
        <v>0</v>
      </c>
      <c r="AD37" s="27">
        <v>47</v>
      </c>
      <c r="AE37" s="27">
        <v>40</v>
      </c>
      <c r="AF37" s="27">
        <v>42</v>
      </c>
      <c r="AG37" s="27">
        <v>37</v>
      </c>
      <c r="AH37" s="27">
        <v>50</v>
      </c>
      <c r="AI37" s="27">
        <v>47</v>
      </c>
      <c r="AJ37" s="27">
        <v>50</v>
      </c>
      <c r="AK37" s="27">
        <v>55</v>
      </c>
      <c r="AL37" s="27">
        <v>57</v>
      </c>
      <c r="AM37" s="27">
        <v>47</v>
      </c>
      <c r="AN37" s="27">
        <v>49</v>
      </c>
      <c r="AO37" s="27">
        <v>48</v>
      </c>
      <c r="AP37" s="27">
        <v>48</v>
      </c>
      <c r="AQ37" s="27">
        <v>29</v>
      </c>
      <c r="AR37" s="27">
        <v>44</v>
      </c>
      <c r="AS37" s="27">
        <v>47</v>
      </c>
      <c r="AT37" s="27">
        <v>47</v>
      </c>
      <c r="AU37" s="27">
        <v>51</v>
      </c>
      <c r="AV37" s="27">
        <v>43</v>
      </c>
      <c r="AW37" s="27">
        <v>46</v>
      </c>
      <c r="AX37" s="23">
        <f t="shared" si="0"/>
        <v>1587</v>
      </c>
    </row>
    <row r="38" spans="4:50" ht="16.5" thickTop="1" thickBot="1" x14ac:dyDescent="0.3">
      <c r="D38" s="24">
        <v>36</v>
      </c>
      <c r="E38" s="21">
        <v>1615</v>
      </c>
      <c r="F38" s="21">
        <v>0</v>
      </c>
      <c r="G38" s="21">
        <v>57</v>
      </c>
      <c r="H38" s="21">
        <v>46</v>
      </c>
      <c r="I38" s="25">
        <v>42.5</v>
      </c>
      <c r="K38" s="24">
        <v>36</v>
      </c>
      <c r="L38" s="21">
        <v>55</v>
      </c>
      <c r="M38" s="21">
        <v>42</v>
      </c>
      <c r="N38" s="21">
        <v>2</v>
      </c>
      <c r="O38" s="21">
        <v>51</v>
      </c>
      <c r="P38" s="21">
        <v>26</v>
      </c>
      <c r="Q38" s="21">
        <v>39</v>
      </c>
      <c r="R38" s="21">
        <v>52</v>
      </c>
      <c r="S38" s="21">
        <v>35</v>
      </c>
      <c r="T38" s="21">
        <v>53</v>
      </c>
      <c r="U38" s="21">
        <v>49</v>
      </c>
      <c r="V38" s="21">
        <v>45</v>
      </c>
      <c r="W38" s="21">
        <v>44</v>
      </c>
      <c r="X38" s="21">
        <v>44</v>
      </c>
      <c r="Y38" s="21">
        <v>47</v>
      </c>
      <c r="Z38" s="21">
        <v>57</v>
      </c>
      <c r="AA38" s="21">
        <v>0</v>
      </c>
      <c r="AB38" s="21">
        <v>47</v>
      </c>
      <c r="AC38" s="21">
        <v>0</v>
      </c>
      <c r="AD38" s="21">
        <v>51</v>
      </c>
      <c r="AE38" s="21">
        <v>39</v>
      </c>
      <c r="AF38" s="21">
        <v>42</v>
      </c>
      <c r="AG38" s="21">
        <v>48</v>
      </c>
      <c r="AH38" s="21">
        <v>51</v>
      </c>
      <c r="AI38" s="21">
        <v>46</v>
      </c>
      <c r="AJ38" s="21">
        <v>46</v>
      </c>
      <c r="AK38" s="21">
        <v>39</v>
      </c>
      <c r="AL38" s="21">
        <v>52</v>
      </c>
      <c r="AM38" s="21">
        <v>46</v>
      </c>
      <c r="AN38" s="21">
        <v>50</v>
      </c>
      <c r="AO38" s="21">
        <v>53</v>
      </c>
      <c r="AP38" s="21">
        <v>43</v>
      </c>
      <c r="AQ38" s="21">
        <v>43</v>
      </c>
      <c r="AR38" s="21">
        <v>49</v>
      </c>
      <c r="AS38" s="21">
        <v>44</v>
      </c>
      <c r="AT38" s="21">
        <v>47</v>
      </c>
      <c r="AU38" s="21">
        <v>46</v>
      </c>
      <c r="AV38" s="21">
        <v>43</v>
      </c>
      <c r="AW38" s="21">
        <v>49</v>
      </c>
      <c r="AX38" s="23">
        <f t="shared" si="0"/>
        <v>1615</v>
      </c>
    </row>
    <row r="39" spans="4:50" ht="16.5" thickTop="1" thickBot="1" x14ac:dyDescent="0.3">
      <c r="D39" s="26">
        <v>37</v>
      </c>
      <c r="E39" s="27">
        <v>1618</v>
      </c>
      <c r="F39" s="27">
        <v>0</v>
      </c>
      <c r="G39" s="27">
        <v>58</v>
      </c>
      <c r="H39" s="27">
        <v>46</v>
      </c>
      <c r="I39" s="28">
        <v>42.578947368421055</v>
      </c>
      <c r="K39" s="26">
        <v>37</v>
      </c>
      <c r="L39" s="27">
        <v>56</v>
      </c>
      <c r="M39" s="27">
        <v>42</v>
      </c>
      <c r="N39" s="27">
        <v>0</v>
      </c>
      <c r="O39" s="27">
        <v>50</v>
      </c>
      <c r="P39" s="27">
        <v>33</v>
      </c>
      <c r="Q39" s="27">
        <v>38</v>
      </c>
      <c r="R39" s="27">
        <v>47</v>
      </c>
      <c r="S39" s="27">
        <v>23</v>
      </c>
      <c r="T39" s="27">
        <v>58</v>
      </c>
      <c r="U39" s="27">
        <v>46</v>
      </c>
      <c r="V39" s="27">
        <v>44</v>
      </c>
      <c r="W39" s="27">
        <v>45</v>
      </c>
      <c r="X39" s="27">
        <v>44</v>
      </c>
      <c r="Y39" s="27">
        <v>48</v>
      </c>
      <c r="Z39" s="27">
        <v>54</v>
      </c>
      <c r="AA39" s="27">
        <v>0</v>
      </c>
      <c r="AB39" s="27">
        <v>46</v>
      </c>
      <c r="AC39" s="27">
        <v>0</v>
      </c>
      <c r="AD39" s="27">
        <v>49</v>
      </c>
      <c r="AE39" s="27">
        <v>46</v>
      </c>
      <c r="AF39" s="27">
        <v>39</v>
      </c>
      <c r="AG39" s="27">
        <v>38</v>
      </c>
      <c r="AH39" s="27">
        <v>53</v>
      </c>
      <c r="AI39" s="27">
        <v>54</v>
      </c>
      <c r="AJ39" s="27">
        <v>54</v>
      </c>
      <c r="AK39" s="27">
        <v>46</v>
      </c>
      <c r="AL39" s="27">
        <v>54</v>
      </c>
      <c r="AM39" s="27">
        <v>45</v>
      </c>
      <c r="AN39" s="27">
        <v>52</v>
      </c>
      <c r="AO39" s="27">
        <v>54</v>
      </c>
      <c r="AP39" s="27">
        <v>46</v>
      </c>
      <c r="AQ39" s="27">
        <v>36</v>
      </c>
      <c r="AR39" s="27">
        <v>49</v>
      </c>
      <c r="AS39" s="27">
        <v>50</v>
      </c>
      <c r="AT39" s="27">
        <v>51</v>
      </c>
      <c r="AU39" s="27">
        <v>43</v>
      </c>
      <c r="AV39" s="27">
        <v>39</v>
      </c>
      <c r="AW39" s="27">
        <v>46</v>
      </c>
      <c r="AX39" s="23">
        <f t="shared" si="0"/>
        <v>1618</v>
      </c>
    </row>
    <row r="40" spans="4:50" ht="16.5" thickTop="1" thickBot="1" x14ac:dyDescent="0.3">
      <c r="D40" s="24">
        <v>38</v>
      </c>
      <c r="E40" s="21">
        <v>1524</v>
      </c>
      <c r="F40" s="21">
        <v>0</v>
      </c>
      <c r="G40" s="21">
        <v>53</v>
      </c>
      <c r="H40" s="21">
        <v>45</v>
      </c>
      <c r="I40" s="25">
        <v>40.10526315789474</v>
      </c>
      <c r="K40" s="24">
        <v>38</v>
      </c>
      <c r="L40" s="21">
        <v>50</v>
      </c>
      <c r="M40" s="21">
        <v>40</v>
      </c>
      <c r="N40" s="21">
        <v>0</v>
      </c>
      <c r="O40" s="21">
        <v>47</v>
      </c>
      <c r="P40" s="21">
        <v>24</v>
      </c>
      <c r="Q40" s="21">
        <v>41</v>
      </c>
      <c r="R40" s="21">
        <v>49</v>
      </c>
      <c r="S40" s="21">
        <v>5</v>
      </c>
      <c r="T40" s="21">
        <v>53</v>
      </c>
      <c r="U40" s="21">
        <v>45</v>
      </c>
      <c r="V40" s="21">
        <v>44</v>
      </c>
      <c r="W40" s="21">
        <v>46</v>
      </c>
      <c r="X40" s="21">
        <v>45</v>
      </c>
      <c r="Y40" s="21">
        <v>46</v>
      </c>
      <c r="Z40" s="21">
        <v>51</v>
      </c>
      <c r="AA40" s="21">
        <v>0</v>
      </c>
      <c r="AB40" s="21">
        <v>50</v>
      </c>
      <c r="AC40" s="21">
        <v>0</v>
      </c>
      <c r="AD40" s="21">
        <v>41</v>
      </c>
      <c r="AE40" s="21">
        <v>41</v>
      </c>
      <c r="AF40" s="21">
        <v>43</v>
      </c>
      <c r="AG40" s="21">
        <v>41</v>
      </c>
      <c r="AH40" s="21">
        <v>50</v>
      </c>
      <c r="AI40" s="21">
        <v>38</v>
      </c>
      <c r="AJ40" s="21">
        <v>46</v>
      </c>
      <c r="AK40" s="21">
        <v>49</v>
      </c>
      <c r="AL40" s="21">
        <v>49</v>
      </c>
      <c r="AM40" s="21">
        <v>43</v>
      </c>
      <c r="AN40" s="21">
        <v>47</v>
      </c>
      <c r="AO40" s="21">
        <v>50</v>
      </c>
      <c r="AP40" s="21">
        <v>42</v>
      </c>
      <c r="AQ40" s="21">
        <v>42</v>
      </c>
      <c r="AR40" s="21">
        <v>47</v>
      </c>
      <c r="AS40" s="21">
        <v>41</v>
      </c>
      <c r="AT40" s="21">
        <v>50</v>
      </c>
      <c r="AU40" s="21">
        <v>31</v>
      </c>
      <c r="AV40" s="21">
        <v>47</v>
      </c>
      <c r="AW40" s="21">
        <v>50</v>
      </c>
      <c r="AX40" s="23">
        <f t="shared" si="0"/>
        <v>1524</v>
      </c>
    </row>
    <row r="41" spans="4:50" ht="16.5" thickTop="1" thickBot="1" x14ac:dyDescent="0.3">
      <c r="D41" s="26">
        <v>39</v>
      </c>
      <c r="E41" s="27">
        <v>1551</v>
      </c>
      <c r="F41" s="27">
        <v>0</v>
      </c>
      <c r="G41" s="27">
        <v>58</v>
      </c>
      <c r="H41" s="27">
        <v>46.5</v>
      </c>
      <c r="I41" s="28">
        <v>40.815789473684212</v>
      </c>
      <c r="K41" s="26">
        <v>39</v>
      </c>
      <c r="L41" s="27">
        <v>58</v>
      </c>
      <c r="M41" s="27">
        <v>42</v>
      </c>
      <c r="N41" s="27">
        <v>0</v>
      </c>
      <c r="O41" s="27">
        <v>49</v>
      </c>
      <c r="P41" s="27">
        <v>25</v>
      </c>
      <c r="Q41" s="27">
        <v>45</v>
      </c>
      <c r="R41" s="27">
        <v>52</v>
      </c>
      <c r="S41" s="27">
        <v>2</v>
      </c>
      <c r="T41" s="27">
        <v>51</v>
      </c>
      <c r="U41" s="27">
        <v>47</v>
      </c>
      <c r="V41" s="27">
        <v>41</v>
      </c>
      <c r="W41" s="27">
        <v>47</v>
      </c>
      <c r="X41" s="27">
        <v>44</v>
      </c>
      <c r="Y41" s="27">
        <v>43</v>
      </c>
      <c r="Z41" s="27">
        <v>45</v>
      </c>
      <c r="AA41" s="27">
        <v>0</v>
      </c>
      <c r="AB41" s="27">
        <v>50</v>
      </c>
      <c r="AC41" s="27">
        <v>0</v>
      </c>
      <c r="AD41" s="27">
        <v>52</v>
      </c>
      <c r="AE41" s="27">
        <v>46</v>
      </c>
      <c r="AF41" s="27">
        <v>47</v>
      </c>
      <c r="AG41" s="27">
        <v>37</v>
      </c>
      <c r="AH41" s="27">
        <v>51</v>
      </c>
      <c r="AI41" s="27">
        <v>35</v>
      </c>
      <c r="AJ41" s="27">
        <v>48</v>
      </c>
      <c r="AK41" s="27">
        <v>53</v>
      </c>
      <c r="AL41" s="27">
        <v>51</v>
      </c>
      <c r="AM41" s="27">
        <v>48</v>
      </c>
      <c r="AN41" s="27">
        <v>48</v>
      </c>
      <c r="AO41" s="27">
        <v>46</v>
      </c>
      <c r="AP41" s="27">
        <v>47</v>
      </c>
      <c r="AQ41" s="27">
        <v>19</v>
      </c>
      <c r="AR41" s="27">
        <v>48</v>
      </c>
      <c r="AS41" s="27">
        <v>43</v>
      </c>
      <c r="AT41" s="27">
        <v>50</v>
      </c>
      <c r="AU41" s="27">
        <v>54</v>
      </c>
      <c r="AV41" s="27">
        <v>44</v>
      </c>
      <c r="AW41" s="27">
        <v>43</v>
      </c>
      <c r="AX41" s="23">
        <f t="shared" si="0"/>
        <v>1551</v>
      </c>
    </row>
    <row r="42" spans="4:50" ht="16.5" thickTop="1" thickBot="1" x14ac:dyDescent="0.3">
      <c r="D42" s="24">
        <v>40</v>
      </c>
      <c r="E42" s="21">
        <v>1559</v>
      </c>
      <c r="F42" s="21">
        <v>0</v>
      </c>
      <c r="G42" s="21">
        <v>54</v>
      </c>
      <c r="H42" s="21">
        <v>47</v>
      </c>
      <c r="I42" s="25">
        <v>41.026315789473685</v>
      </c>
      <c r="K42" s="24">
        <v>40</v>
      </c>
      <c r="L42" s="21">
        <v>52</v>
      </c>
      <c r="M42" s="21">
        <v>38</v>
      </c>
      <c r="N42" s="21">
        <v>2</v>
      </c>
      <c r="O42" s="21">
        <v>48</v>
      </c>
      <c r="P42" s="21">
        <v>29</v>
      </c>
      <c r="Q42" s="21">
        <v>37</v>
      </c>
      <c r="R42" s="21">
        <v>51</v>
      </c>
      <c r="S42" s="21">
        <v>0</v>
      </c>
      <c r="T42" s="21">
        <v>50</v>
      </c>
      <c r="U42" s="21">
        <v>45</v>
      </c>
      <c r="V42" s="21">
        <v>34</v>
      </c>
      <c r="W42" s="21">
        <v>44</v>
      </c>
      <c r="X42" s="21">
        <v>40</v>
      </c>
      <c r="Y42" s="21">
        <v>47</v>
      </c>
      <c r="Z42" s="21">
        <v>49</v>
      </c>
      <c r="AA42" s="21">
        <v>0</v>
      </c>
      <c r="AB42" s="21">
        <v>52</v>
      </c>
      <c r="AC42" s="21">
        <v>0</v>
      </c>
      <c r="AD42" s="21">
        <v>49</v>
      </c>
      <c r="AE42" s="21">
        <v>44</v>
      </c>
      <c r="AF42" s="21">
        <v>47</v>
      </c>
      <c r="AG42" s="21">
        <v>48</v>
      </c>
      <c r="AH42" s="21">
        <v>48</v>
      </c>
      <c r="AI42" s="21">
        <v>51</v>
      </c>
      <c r="AJ42" s="21">
        <v>51</v>
      </c>
      <c r="AK42" s="21">
        <v>37</v>
      </c>
      <c r="AL42" s="21">
        <v>49</v>
      </c>
      <c r="AM42" s="21">
        <v>44</v>
      </c>
      <c r="AN42" s="21">
        <v>51</v>
      </c>
      <c r="AO42" s="21">
        <v>52</v>
      </c>
      <c r="AP42" s="21">
        <v>41</v>
      </c>
      <c r="AQ42" s="21">
        <v>34</v>
      </c>
      <c r="AR42" s="21">
        <v>50</v>
      </c>
      <c r="AS42" s="21">
        <v>50</v>
      </c>
      <c r="AT42" s="21">
        <v>54</v>
      </c>
      <c r="AU42" s="21">
        <v>45</v>
      </c>
      <c r="AV42" s="21">
        <v>46</v>
      </c>
      <c r="AW42" s="21">
        <v>50</v>
      </c>
      <c r="AX42" s="23">
        <f t="shared" si="0"/>
        <v>1559</v>
      </c>
    </row>
    <row r="43" spans="4:50" ht="16.5" thickTop="1" thickBot="1" x14ac:dyDescent="0.3">
      <c r="D43" s="26">
        <v>41</v>
      </c>
      <c r="E43" s="27">
        <v>1548</v>
      </c>
      <c r="F43" s="27">
        <v>0</v>
      </c>
      <c r="G43" s="27">
        <v>54</v>
      </c>
      <c r="H43" s="27">
        <v>44.5</v>
      </c>
      <c r="I43" s="28">
        <v>40.736842105263158</v>
      </c>
      <c r="K43" s="26">
        <v>41</v>
      </c>
      <c r="L43" s="27">
        <v>49</v>
      </c>
      <c r="M43" s="27">
        <v>37</v>
      </c>
      <c r="N43" s="27">
        <v>8</v>
      </c>
      <c r="O43" s="27">
        <v>50</v>
      </c>
      <c r="P43" s="27">
        <v>24</v>
      </c>
      <c r="Q43" s="27">
        <v>36</v>
      </c>
      <c r="R43" s="27">
        <v>47</v>
      </c>
      <c r="S43" s="27">
        <v>13</v>
      </c>
      <c r="T43" s="27">
        <v>54</v>
      </c>
      <c r="U43" s="27">
        <v>42</v>
      </c>
      <c r="V43" s="27">
        <v>45</v>
      </c>
      <c r="W43" s="27">
        <v>45</v>
      </c>
      <c r="X43" s="27">
        <v>34</v>
      </c>
      <c r="Y43" s="27">
        <v>45</v>
      </c>
      <c r="Z43" s="27">
        <v>40</v>
      </c>
      <c r="AA43" s="27">
        <v>0</v>
      </c>
      <c r="AB43" s="27">
        <v>47</v>
      </c>
      <c r="AC43" s="27">
        <v>14</v>
      </c>
      <c r="AD43" s="27">
        <v>45</v>
      </c>
      <c r="AE43" s="27">
        <v>41</v>
      </c>
      <c r="AF43" s="27">
        <v>44</v>
      </c>
      <c r="AG43" s="27">
        <v>42</v>
      </c>
      <c r="AH43" s="27">
        <v>44</v>
      </c>
      <c r="AI43" s="27">
        <v>43</v>
      </c>
      <c r="AJ43" s="27">
        <v>47</v>
      </c>
      <c r="AK43" s="27">
        <v>39</v>
      </c>
      <c r="AL43" s="27">
        <v>52</v>
      </c>
      <c r="AM43" s="27">
        <v>43</v>
      </c>
      <c r="AN43" s="27">
        <v>48</v>
      </c>
      <c r="AO43" s="27">
        <v>49</v>
      </c>
      <c r="AP43" s="27">
        <v>53</v>
      </c>
      <c r="AQ43" s="27">
        <v>42</v>
      </c>
      <c r="AR43" s="27">
        <v>52</v>
      </c>
      <c r="AS43" s="27">
        <v>47</v>
      </c>
      <c r="AT43" s="27">
        <v>53</v>
      </c>
      <c r="AU43" s="27">
        <v>45</v>
      </c>
      <c r="AV43" s="27">
        <v>46</v>
      </c>
      <c r="AW43" s="27">
        <v>43</v>
      </c>
      <c r="AX43" s="23">
        <f t="shared" si="0"/>
        <v>1548</v>
      </c>
    </row>
    <row r="44" spans="4:50" ht="16.5" thickTop="1" thickBot="1" x14ac:dyDescent="0.3">
      <c r="D44" s="24">
        <v>42</v>
      </c>
      <c r="E44" s="21">
        <v>1563</v>
      </c>
      <c r="F44" s="21">
        <v>0</v>
      </c>
      <c r="G44" s="21">
        <v>59</v>
      </c>
      <c r="H44" s="21">
        <v>45.5</v>
      </c>
      <c r="I44" s="25">
        <v>41.131578947368418</v>
      </c>
      <c r="K44" s="24">
        <v>42</v>
      </c>
      <c r="L44" s="21">
        <v>54</v>
      </c>
      <c r="M44" s="21">
        <v>40</v>
      </c>
      <c r="N44" s="21">
        <v>0</v>
      </c>
      <c r="O44" s="21">
        <v>47</v>
      </c>
      <c r="P44" s="21">
        <v>26</v>
      </c>
      <c r="Q44" s="21">
        <v>47</v>
      </c>
      <c r="R44" s="21">
        <v>50</v>
      </c>
      <c r="S44" s="21">
        <v>0</v>
      </c>
      <c r="T44" s="21">
        <v>59</v>
      </c>
      <c r="U44" s="21">
        <v>48</v>
      </c>
      <c r="V44" s="21">
        <v>40</v>
      </c>
      <c r="W44" s="21">
        <v>46</v>
      </c>
      <c r="X44" s="21">
        <v>45</v>
      </c>
      <c r="Y44" s="21">
        <v>47</v>
      </c>
      <c r="Z44" s="21">
        <v>53</v>
      </c>
      <c r="AA44" s="21">
        <v>0</v>
      </c>
      <c r="AB44" s="21">
        <v>48</v>
      </c>
      <c r="AC44" s="21">
        <v>7</v>
      </c>
      <c r="AD44" s="21">
        <v>45</v>
      </c>
      <c r="AE44" s="21">
        <v>42</v>
      </c>
      <c r="AF44" s="21">
        <v>43</v>
      </c>
      <c r="AG44" s="21">
        <v>41</v>
      </c>
      <c r="AH44" s="21">
        <v>46</v>
      </c>
      <c r="AI44" s="21">
        <v>39</v>
      </c>
      <c r="AJ44" s="21">
        <v>51</v>
      </c>
      <c r="AK44" s="21">
        <v>40</v>
      </c>
      <c r="AL44" s="21">
        <v>52</v>
      </c>
      <c r="AM44" s="21">
        <v>43</v>
      </c>
      <c r="AN44" s="21">
        <v>56</v>
      </c>
      <c r="AO44" s="21">
        <v>47</v>
      </c>
      <c r="AP44" s="21">
        <v>39</v>
      </c>
      <c r="AQ44" s="21">
        <v>40</v>
      </c>
      <c r="AR44" s="21">
        <v>51</v>
      </c>
      <c r="AS44" s="21">
        <v>45</v>
      </c>
      <c r="AT44" s="21">
        <v>48</v>
      </c>
      <c r="AU44" s="21">
        <v>45</v>
      </c>
      <c r="AV44" s="21">
        <v>47</v>
      </c>
      <c r="AW44" s="21">
        <v>46</v>
      </c>
      <c r="AX44" s="23">
        <f t="shared" si="0"/>
        <v>1563</v>
      </c>
    </row>
    <row r="45" spans="4:50" ht="16.5" thickTop="1" thickBot="1" x14ac:dyDescent="0.3">
      <c r="D45" s="26">
        <v>43</v>
      </c>
      <c r="E45" s="27">
        <v>1556</v>
      </c>
      <c r="F45" s="27">
        <v>0</v>
      </c>
      <c r="G45" s="27">
        <v>55</v>
      </c>
      <c r="H45" s="27">
        <v>45.5</v>
      </c>
      <c r="I45" s="28">
        <v>40.94736842105263</v>
      </c>
      <c r="K45" s="26">
        <v>43</v>
      </c>
      <c r="L45" s="27">
        <v>55</v>
      </c>
      <c r="M45" s="27">
        <v>45</v>
      </c>
      <c r="N45" s="27">
        <v>0</v>
      </c>
      <c r="O45" s="27">
        <v>44</v>
      </c>
      <c r="P45" s="27">
        <v>20</v>
      </c>
      <c r="Q45" s="27">
        <v>47</v>
      </c>
      <c r="R45" s="27">
        <v>54</v>
      </c>
      <c r="S45" s="27">
        <v>2</v>
      </c>
      <c r="T45" s="27">
        <v>51</v>
      </c>
      <c r="U45" s="27">
        <v>40</v>
      </c>
      <c r="V45" s="27">
        <v>42</v>
      </c>
      <c r="W45" s="27">
        <v>49</v>
      </c>
      <c r="X45" s="27">
        <v>40</v>
      </c>
      <c r="Y45" s="27">
        <v>47</v>
      </c>
      <c r="Z45" s="27">
        <v>48</v>
      </c>
      <c r="AA45" s="27">
        <v>0</v>
      </c>
      <c r="AB45" s="27">
        <v>50</v>
      </c>
      <c r="AC45" s="27">
        <v>0</v>
      </c>
      <c r="AD45" s="27">
        <v>48</v>
      </c>
      <c r="AE45" s="27">
        <v>43</v>
      </c>
      <c r="AF45" s="27">
        <v>40</v>
      </c>
      <c r="AG45" s="27">
        <v>52</v>
      </c>
      <c r="AH45" s="27">
        <v>47</v>
      </c>
      <c r="AI45" s="27">
        <v>45</v>
      </c>
      <c r="AJ45" s="27">
        <v>44</v>
      </c>
      <c r="AK45" s="27">
        <v>43</v>
      </c>
      <c r="AL45" s="27">
        <v>52</v>
      </c>
      <c r="AM45" s="27">
        <v>51</v>
      </c>
      <c r="AN45" s="27">
        <v>48</v>
      </c>
      <c r="AO45" s="27">
        <v>47</v>
      </c>
      <c r="AP45" s="27">
        <v>49</v>
      </c>
      <c r="AQ45" s="27">
        <v>44</v>
      </c>
      <c r="AR45" s="27">
        <v>47</v>
      </c>
      <c r="AS45" s="27">
        <v>46</v>
      </c>
      <c r="AT45" s="27">
        <v>44</v>
      </c>
      <c r="AU45" s="27">
        <v>43</v>
      </c>
      <c r="AV45" s="27">
        <v>46</v>
      </c>
      <c r="AW45" s="27">
        <v>43</v>
      </c>
      <c r="AX45" s="23">
        <f t="shared" si="0"/>
        <v>1556</v>
      </c>
    </row>
    <row r="46" spans="4:50" ht="16.5" thickTop="1" thickBot="1" x14ac:dyDescent="0.3">
      <c r="D46" s="24">
        <v>44</v>
      </c>
      <c r="E46" s="21">
        <v>1603</v>
      </c>
      <c r="F46" s="21">
        <v>0</v>
      </c>
      <c r="G46" s="21">
        <v>58</v>
      </c>
      <c r="H46" s="21">
        <v>47</v>
      </c>
      <c r="I46" s="25">
        <v>42.184210526315788</v>
      </c>
      <c r="K46" s="24">
        <v>44</v>
      </c>
      <c r="L46" s="21">
        <v>45</v>
      </c>
      <c r="M46" s="21">
        <v>24</v>
      </c>
      <c r="N46" s="21">
        <v>9</v>
      </c>
      <c r="O46" s="21">
        <v>47</v>
      </c>
      <c r="P46" s="21">
        <v>28</v>
      </c>
      <c r="Q46" s="21">
        <v>44</v>
      </c>
      <c r="R46" s="21">
        <v>51</v>
      </c>
      <c r="S46" s="21">
        <v>1</v>
      </c>
      <c r="T46" s="21">
        <v>54</v>
      </c>
      <c r="U46" s="21">
        <v>47</v>
      </c>
      <c r="V46" s="21">
        <v>43</v>
      </c>
      <c r="W46" s="21">
        <v>50</v>
      </c>
      <c r="X46" s="21">
        <v>44</v>
      </c>
      <c r="Y46" s="21">
        <v>48</v>
      </c>
      <c r="Z46" s="21">
        <v>58</v>
      </c>
      <c r="AA46" s="21">
        <v>0</v>
      </c>
      <c r="AB46" s="21">
        <v>47</v>
      </c>
      <c r="AC46" s="21">
        <v>11</v>
      </c>
      <c r="AD46" s="21">
        <v>52</v>
      </c>
      <c r="AE46" s="21">
        <v>44</v>
      </c>
      <c r="AF46" s="21">
        <v>39</v>
      </c>
      <c r="AG46" s="21">
        <v>50</v>
      </c>
      <c r="AH46" s="21">
        <v>57</v>
      </c>
      <c r="AI46" s="21">
        <v>54</v>
      </c>
      <c r="AJ46" s="21">
        <v>56</v>
      </c>
      <c r="AK46" s="21">
        <v>49</v>
      </c>
      <c r="AL46" s="21">
        <v>50</v>
      </c>
      <c r="AM46" s="21">
        <v>45</v>
      </c>
      <c r="AN46" s="21">
        <v>50</v>
      </c>
      <c r="AO46" s="21">
        <v>49</v>
      </c>
      <c r="AP46" s="21">
        <v>46</v>
      </c>
      <c r="AQ46" s="21">
        <v>39</v>
      </c>
      <c r="AR46" s="21">
        <v>52</v>
      </c>
      <c r="AS46" s="21">
        <v>51</v>
      </c>
      <c r="AT46" s="21">
        <v>51</v>
      </c>
      <c r="AU46" s="21">
        <v>32</v>
      </c>
      <c r="AV46" s="21">
        <v>44</v>
      </c>
      <c r="AW46" s="21">
        <v>42</v>
      </c>
      <c r="AX46" s="23">
        <f t="shared" si="0"/>
        <v>1603</v>
      </c>
    </row>
    <row r="47" spans="4:50" ht="16.5" thickTop="1" thickBot="1" x14ac:dyDescent="0.3">
      <c r="D47" s="26">
        <v>45</v>
      </c>
      <c r="E47" s="27">
        <v>1513</v>
      </c>
      <c r="F47" s="27">
        <v>0</v>
      </c>
      <c r="G47" s="27">
        <v>58</v>
      </c>
      <c r="H47" s="27">
        <v>46</v>
      </c>
      <c r="I47" s="28">
        <v>39.815789473684212</v>
      </c>
      <c r="K47" s="26">
        <v>45</v>
      </c>
      <c r="L47" s="27">
        <v>51</v>
      </c>
      <c r="M47" s="27">
        <v>0</v>
      </c>
      <c r="N47" s="27">
        <v>0</v>
      </c>
      <c r="O47" s="27">
        <v>51</v>
      </c>
      <c r="P47" s="27">
        <v>25</v>
      </c>
      <c r="Q47" s="27">
        <v>39</v>
      </c>
      <c r="R47" s="27">
        <v>49</v>
      </c>
      <c r="S47" s="27">
        <v>6</v>
      </c>
      <c r="T47" s="27">
        <v>50</v>
      </c>
      <c r="U47" s="27">
        <v>38</v>
      </c>
      <c r="V47" s="27">
        <v>46</v>
      </c>
      <c r="W47" s="27">
        <v>45</v>
      </c>
      <c r="X47" s="27">
        <v>46</v>
      </c>
      <c r="Y47" s="27">
        <v>47</v>
      </c>
      <c r="Z47" s="27">
        <v>53</v>
      </c>
      <c r="AA47" s="27">
        <v>0</v>
      </c>
      <c r="AB47" s="27">
        <v>52</v>
      </c>
      <c r="AC47" s="27">
        <v>1</v>
      </c>
      <c r="AD47" s="27">
        <v>42</v>
      </c>
      <c r="AE47" s="27">
        <v>44</v>
      </c>
      <c r="AF47" s="27">
        <v>46</v>
      </c>
      <c r="AG47" s="27">
        <v>44</v>
      </c>
      <c r="AH47" s="27">
        <v>47</v>
      </c>
      <c r="AI47" s="27">
        <v>47</v>
      </c>
      <c r="AJ47" s="27">
        <v>48</v>
      </c>
      <c r="AK47" s="27">
        <v>54</v>
      </c>
      <c r="AL47" s="27">
        <v>58</v>
      </c>
      <c r="AM47" s="27">
        <v>45</v>
      </c>
      <c r="AN47" s="27">
        <v>50</v>
      </c>
      <c r="AO47" s="27">
        <v>43</v>
      </c>
      <c r="AP47" s="27">
        <v>47</v>
      </c>
      <c r="AQ47" s="27">
        <v>42</v>
      </c>
      <c r="AR47" s="27">
        <v>44</v>
      </c>
      <c r="AS47" s="27">
        <v>46</v>
      </c>
      <c r="AT47" s="27">
        <v>51</v>
      </c>
      <c r="AU47" s="27">
        <v>26</v>
      </c>
      <c r="AV47" s="27">
        <v>50</v>
      </c>
      <c r="AW47" s="27">
        <v>40</v>
      </c>
      <c r="AX47" s="23">
        <f t="shared" si="0"/>
        <v>1513</v>
      </c>
    </row>
    <row r="48" spans="4:50" ht="16.5" thickTop="1" thickBot="1" x14ac:dyDescent="0.3">
      <c r="D48" s="24">
        <v>46</v>
      </c>
      <c r="E48" s="21">
        <v>1572</v>
      </c>
      <c r="F48" s="21">
        <v>0</v>
      </c>
      <c r="G48" s="21">
        <v>62</v>
      </c>
      <c r="H48" s="21">
        <v>45.5</v>
      </c>
      <c r="I48" s="25">
        <v>41.368421052631582</v>
      </c>
      <c r="K48" s="24">
        <v>46</v>
      </c>
      <c r="L48" s="21">
        <v>53</v>
      </c>
      <c r="M48" s="21">
        <v>0</v>
      </c>
      <c r="N48" s="21">
        <v>1</v>
      </c>
      <c r="O48" s="21">
        <v>52</v>
      </c>
      <c r="P48" s="21">
        <v>28</v>
      </c>
      <c r="Q48" s="21">
        <v>45</v>
      </c>
      <c r="R48" s="21">
        <v>48</v>
      </c>
      <c r="S48" s="21">
        <v>25</v>
      </c>
      <c r="T48" s="21">
        <v>55</v>
      </c>
      <c r="U48" s="21">
        <v>47</v>
      </c>
      <c r="V48" s="21">
        <v>46</v>
      </c>
      <c r="W48" s="21">
        <v>47</v>
      </c>
      <c r="X48" s="21">
        <v>35</v>
      </c>
      <c r="Y48" s="21">
        <v>44</v>
      </c>
      <c r="Z48" s="21">
        <v>47</v>
      </c>
      <c r="AA48" s="21">
        <v>0</v>
      </c>
      <c r="AB48" s="21">
        <v>53</v>
      </c>
      <c r="AC48" s="21">
        <v>15</v>
      </c>
      <c r="AD48" s="21">
        <v>50</v>
      </c>
      <c r="AE48" s="21">
        <v>41</v>
      </c>
      <c r="AF48" s="21">
        <v>48</v>
      </c>
      <c r="AG48" s="21">
        <v>51</v>
      </c>
      <c r="AH48" s="21">
        <v>44</v>
      </c>
      <c r="AI48" s="21">
        <v>46</v>
      </c>
      <c r="AJ48" s="21">
        <v>44</v>
      </c>
      <c r="AK48" s="21">
        <v>43</v>
      </c>
      <c r="AL48" s="21">
        <v>62</v>
      </c>
      <c r="AM48" s="21">
        <v>49</v>
      </c>
      <c r="AN48" s="21">
        <v>50</v>
      </c>
      <c r="AO48" s="21">
        <v>51</v>
      </c>
      <c r="AP48" s="21">
        <v>45</v>
      </c>
      <c r="AQ48" s="21">
        <v>45</v>
      </c>
      <c r="AR48" s="21">
        <v>47</v>
      </c>
      <c r="AS48" s="21">
        <v>41</v>
      </c>
      <c r="AT48" s="21">
        <v>49</v>
      </c>
      <c r="AU48" s="21">
        <v>40</v>
      </c>
      <c r="AV48" s="21">
        <v>42</v>
      </c>
      <c r="AW48" s="21">
        <v>43</v>
      </c>
      <c r="AX48" s="23">
        <f t="shared" si="0"/>
        <v>1572</v>
      </c>
    </row>
    <row r="49" spans="4:50" ht="16.5" thickTop="1" thickBot="1" x14ac:dyDescent="0.3">
      <c r="D49" s="26">
        <v>47</v>
      </c>
      <c r="E49" s="27">
        <v>1627</v>
      </c>
      <c r="F49" s="27">
        <v>0</v>
      </c>
      <c r="G49" s="27">
        <v>60</v>
      </c>
      <c r="H49" s="27">
        <v>47.5</v>
      </c>
      <c r="I49" s="28">
        <v>42.815789473684212</v>
      </c>
      <c r="K49" s="26">
        <v>47</v>
      </c>
      <c r="L49" s="27">
        <v>43</v>
      </c>
      <c r="M49" s="27">
        <v>0</v>
      </c>
      <c r="N49" s="27">
        <v>4</v>
      </c>
      <c r="O49" s="27">
        <v>60</v>
      </c>
      <c r="P49" s="27">
        <v>33</v>
      </c>
      <c r="Q49" s="27">
        <v>45</v>
      </c>
      <c r="R49" s="27">
        <v>47</v>
      </c>
      <c r="S49" s="27">
        <v>27</v>
      </c>
      <c r="T49" s="27">
        <v>56</v>
      </c>
      <c r="U49" s="27">
        <v>51</v>
      </c>
      <c r="V49" s="27">
        <v>46</v>
      </c>
      <c r="W49" s="27">
        <v>50</v>
      </c>
      <c r="X49" s="27">
        <v>45</v>
      </c>
      <c r="Y49" s="27">
        <v>50</v>
      </c>
      <c r="Z49" s="27">
        <v>52</v>
      </c>
      <c r="AA49" s="27">
        <v>0</v>
      </c>
      <c r="AB49" s="27">
        <v>50</v>
      </c>
      <c r="AC49" s="27">
        <v>13</v>
      </c>
      <c r="AD49" s="27">
        <v>47</v>
      </c>
      <c r="AE49" s="27">
        <v>39</v>
      </c>
      <c r="AF49" s="27">
        <v>45</v>
      </c>
      <c r="AG49" s="27">
        <v>45</v>
      </c>
      <c r="AH49" s="27">
        <v>49</v>
      </c>
      <c r="AI49" s="27">
        <v>48</v>
      </c>
      <c r="AJ49" s="27">
        <v>54</v>
      </c>
      <c r="AK49" s="27">
        <v>49</v>
      </c>
      <c r="AL49" s="27">
        <v>50</v>
      </c>
      <c r="AM49" s="27">
        <v>45</v>
      </c>
      <c r="AN49" s="27">
        <v>55</v>
      </c>
      <c r="AO49" s="27">
        <v>51</v>
      </c>
      <c r="AP49" s="27">
        <v>44</v>
      </c>
      <c r="AQ49" s="27">
        <v>48</v>
      </c>
      <c r="AR49" s="27">
        <v>49</v>
      </c>
      <c r="AS49" s="27">
        <v>51</v>
      </c>
      <c r="AT49" s="27">
        <v>55</v>
      </c>
      <c r="AU49" s="27">
        <v>38</v>
      </c>
      <c r="AV49" s="27">
        <v>45</v>
      </c>
      <c r="AW49" s="27">
        <v>48</v>
      </c>
      <c r="AX49" s="23">
        <f t="shared" si="0"/>
        <v>1627</v>
      </c>
    </row>
    <row r="50" spans="4:50" ht="16.5" thickTop="1" thickBot="1" x14ac:dyDescent="0.3">
      <c r="D50" s="24">
        <v>48</v>
      </c>
      <c r="E50" s="21">
        <v>1548</v>
      </c>
      <c r="F50" s="21">
        <v>0</v>
      </c>
      <c r="G50" s="21">
        <v>54</v>
      </c>
      <c r="H50" s="21">
        <v>46</v>
      </c>
      <c r="I50" s="25">
        <v>40.736842105263158</v>
      </c>
      <c r="K50" s="24">
        <v>48</v>
      </c>
      <c r="L50" s="21">
        <v>52</v>
      </c>
      <c r="M50" s="21">
        <v>0</v>
      </c>
      <c r="N50" s="21">
        <v>0</v>
      </c>
      <c r="O50" s="21">
        <v>50</v>
      </c>
      <c r="P50" s="21">
        <v>19</v>
      </c>
      <c r="Q50" s="21">
        <v>37</v>
      </c>
      <c r="R50" s="21">
        <v>54</v>
      </c>
      <c r="S50" s="21">
        <v>7</v>
      </c>
      <c r="T50" s="21">
        <v>53</v>
      </c>
      <c r="U50" s="21">
        <v>47</v>
      </c>
      <c r="V50" s="21">
        <v>41</v>
      </c>
      <c r="W50" s="21">
        <v>45</v>
      </c>
      <c r="X50" s="21">
        <v>46</v>
      </c>
      <c r="Y50" s="21">
        <v>46</v>
      </c>
      <c r="Z50" s="21">
        <v>51</v>
      </c>
      <c r="AA50" s="21">
        <v>0</v>
      </c>
      <c r="AB50" s="21">
        <v>50</v>
      </c>
      <c r="AC50" s="21">
        <v>2</v>
      </c>
      <c r="AD50" s="21">
        <v>51</v>
      </c>
      <c r="AE50" s="21">
        <v>40</v>
      </c>
      <c r="AF50" s="21">
        <v>44</v>
      </c>
      <c r="AG50" s="21">
        <v>46</v>
      </c>
      <c r="AH50" s="21">
        <v>49</v>
      </c>
      <c r="AI50" s="21">
        <v>42</v>
      </c>
      <c r="AJ50" s="21">
        <v>53</v>
      </c>
      <c r="AK50" s="21">
        <v>47</v>
      </c>
      <c r="AL50" s="21">
        <v>52</v>
      </c>
      <c r="AM50" s="21">
        <v>46</v>
      </c>
      <c r="AN50" s="21">
        <v>49</v>
      </c>
      <c r="AO50" s="21">
        <v>52</v>
      </c>
      <c r="AP50" s="21">
        <v>46</v>
      </c>
      <c r="AQ50" s="21">
        <v>50</v>
      </c>
      <c r="AR50" s="21">
        <v>54</v>
      </c>
      <c r="AS50" s="21">
        <v>51</v>
      </c>
      <c r="AT50" s="21">
        <v>50</v>
      </c>
      <c r="AU50" s="21">
        <v>36</v>
      </c>
      <c r="AV50" s="21">
        <v>44</v>
      </c>
      <c r="AW50" s="21">
        <v>46</v>
      </c>
      <c r="AX50" s="23">
        <f t="shared" si="0"/>
        <v>1548</v>
      </c>
    </row>
    <row r="51" spans="4:50" ht="16.5" thickTop="1" thickBot="1" x14ac:dyDescent="0.3">
      <c r="D51" s="26">
        <v>49</v>
      </c>
      <c r="E51" s="27">
        <v>1562</v>
      </c>
      <c r="F51" s="27">
        <v>0</v>
      </c>
      <c r="G51" s="27">
        <v>54</v>
      </c>
      <c r="H51" s="27">
        <v>45.5</v>
      </c>
      <c r="I51" s="28">
        <v>41.10526315789474</v>
      </c>
      <c r="K51" s="26">
        <v>49</v>
      </c>
      <c r="L51" s="27">
        <v>51</v>
      </c>
      <c r="M51" s="27">
        <v>40</v>
      </c>
      <c r="N51" s="27">
        <v>0</v>
      </c>
      <c r="O51" s="27">
        <v>45</v>
      </c>
      <c r="P51" s="27">
        <v>31</v>
      </c>
      <c r="Q51" s="27">
        <v>34</v>
      </c>
      <c r="R51" s="27">
        <v>50</v>
      </c>
      <c r="S51" s="27">
        <v>25</v>
      </c>
      <c r="T51" s="27">
        <v>51</v>
      </c>
      <c r="U51" s="27">
        <v>44</v>
      </c>
      <c r="V51" s="27">
        <v>47</v>
      </c>
      <c r="W51" s="27">
        <v>48</v>
      </c>
      <c r="X51" s="27">
        <v>41</v>
      </c>
      <c r="Y51" s="27">
        <v>48</v>
      </c>
      <c r="Z51" s="27">
        <v>54</v>
      </c>
      <c r="AA51" s="27">
        <v>0</v>
      </c>
      <c r="AB51" s="27">
        <v>45</v>
      </c>
      <c r="AC51" s="27">
        <v>24</v>
      </c>
      <c r="AD51" s="27">
        <v>54</v>
      </c>
      <c r="AE51" s="27">
        <v>42</v>
      </c>
      <c r="AF51" s="27">
        <v>51</v>
      </c>
      <c r="AG51" s="27">
        <v>32</v>
      </c>
      <c r="AH51" s="27">
        <v>45</v>
      </c>
      <c r="AI51" s="27">
        <v>44</v>
      </c>
      <c r="AJ51" s="27">
        <v>50</v>
      </c>
      <c r="AK51" s="27">
        <v>46</v>
      </c>
      <c r="AL51" s="27">
        <v>51</v>
      </c>
      <c r="AM51" s="27">
        <v>42</v>
      </c>
      <c r="AN51" s="27">
        <v>46</v>
      </c>
      <c r="AO51" s="27">
        <v>54</v>
      </c>
      <c r="AP51" s="27">
        <v>42</v>
      </c>
      <c r="AQ51" s="27">
        <v>0</v>
      </c>
      <c r="AR51" s="27">
        <v>53</v>
      </c>
      <c r="AS51" s="27">
        <v>51</v>
      </c>
      <c r="AT51" s="27">
        <v>51</v>
      </c>
      <c r="AU51" s="27">
        <v>47</v>
      </c>
      <c r="AV51" s="27">
        <v>36</v>
      </c>
      <c r="AW51" s="27">
        <v>47</v>
      </c>
      <c r="AX51" s="23">
        <f t="shared" si="0"/>
        <v>1562</v>
      </c>
    </row>
    <row r="52" spans="4:50" ht="16.5" thickTop="1" thickBot="1" x14ac:dyDescent="0.3">
      <c r="D52" s="24">
        <v>50</v>
      </c>
      <c r="E52" s="21">
        <v>1487</v>
      </c>
      <c r="F52" s="21">
        <v>0</v>
      </c>
      <c r="G52" s="21">
        <v>53</v>
      </c>
      <c r="H52" s="21">
        <v>44</v>
      </c>
      <c r="I52" s="25">
        <v>39.131578947368418</v>
      </c>
      <c r="K52" s="24">
        <v>50</v>
      </c>
      <c r="L52" s="21">
        <v>52</v>
      </c>
      <c r="M52" s="21">
        <v>6</v>
      </c>
      <c r="N52" s="21">
        <v>0</v>
      </c>
      <c r="O52" s="21">
        <v>50</v>
      </c>
      <c r="P52" s="21">
        <v>35</v>
      </c>
      <c r="Q52" s="21">
        <v>44</v>
      </c>
      <c r="R52" s="21">
        <v>47</v>
      </c>
      <c r="S52" s="21">
        <v>0</v>
      </c>
      <c r="T52" s="21">
        <v>51</v>
      </c>
      <c r="U52" s="21">
        <v>43</v>
      </c>
      <c r="V52" s="21">
        <v>39</v>
      </c>
      <c r="W52" s="21">
        <v>43</v>
      </c>
      <c r="X52" s="21">
        <v>44</v>
      </c>
      <c r="Y52" s="21">
        <v>53</v>
      </c>
      <c r="Z52" s="21">
        <v>47</v>
      </c>
      <c r="AA52" s="21">
        <v>0</v>
      </c>
      <c r="AB52" s="21">
        <v>43</v>
      </c>
      <c r="AC52" s="21">
        <v>47</v>
      </c>
      <c r="AD52" s="21">
        <v>44</v>
      </c>
      <c r="AE52" s="21">
        <v>43</v>
      </c>
      <c r="AF52" s="21">
        <v>48</v>
      </c>
      <c r="AG52" s="21">
        <v>47</v>
      </c>
      <c r="AH52" s="21">
        <v>48</v>
      </c>
      <c r="AI52" s="21">
        <v>48</v>
      </c>
      <c r="AJ52" s="21">
        <v>46</v>
      </c>
      <c r="AK52" s="21">
        <v>37</v>
      </c>
      <c r="AL52" s="21">
        <v>48</v>
      </c>
      <c r="AM52" s="21">
        <v>41</v>
      </c>
      <c r="AN52" s="21">
        <v>47</v>
      </c>
      <c r="AO52" s="21">
        <v>47</v>
      </c>
      <c r="AP52" s="21">
        <v>42</v>
      </c>
      <c r="AQ52" s="21">
        <v>0</v>
      </c>
      <c r="AR52" s="21">
        <v>44</v>
      </c>
      <c r="AS52" s="21">
        <v>45</v>
      </c>
      <c r="AT52" s="21">
        <v>47</v>
      </c>
      <c r="AU52" s="21">
        <v>26</v>
      </c>
      <c r="AV52" s="21">
        <v>42</v>
      </c>
      <c r="AW52" s="21">
        <v>53</v>
      </c>
      <c r="AX52" s="23">
        <f t="shared" si="0"/>
        <v>1487</v>
      </c>
    </row>
    <row r="53" spans="4:50" ht="16.5" thickTop="1" thickBot="1" x14ac:dyDescent="0.3">
      <c r="D53" s="26">
        <v>51</v>
      </c>
      <c r="E53" s="27">
        <v>1548</v>
      </c>
      <c r="F53" s="27">
        <v>0</v>
      </c>
      <c r="G53" s="27">
        <v>57</v>
      </c>
      <c r="H53" s="27">
        <v>47</v>
      </c>
      <c r="I53" s="28">
        <v>40.736842105263158</v>
      </c>
      <c r="K53" s="26">
        <v>51</v>
      </c>
      <c r="L53" s="27">
        <v>57</v>
      </c>
      <c r="M53" s="27">
        <v>26</v>
      </c>
      <c r="N53" s="27">
        <v>2</v>
      </c>
      <c r="O53" s="27">
        <v>53</v>
      </c>
      <c r="P53" s="27">
        <v>26</v>
      </c>
      <c r="Q53" s="27">
        <v>40</v>
      </c>
      <c r="R53" s="27">
        <v>50</v>
      </c>
      <c r="S53" s="27">
        <v>1</v>
      </c>
      <c r="T53" s="27">
        <v>55</v>
      </c>
      <c r="U53" s="27">
        <v>47</v>
      </c>
      <c r="V53" s="27">
        <v>39</v>
      </c>
      <c r="W53" s="27">
        <v>46</v>
      </c>
      <c r="X53" s="27">
        <v>44</v>
      </c>
      <c r="Y53" s="27">
        <v>49</v>
      </c>
      <c r="Z53" s="27">
        <v>50</v>
      </c>
      <c r="AA53" s="27">
        <v>0</v>
      </c>
      <c r="AB53" s="27">
        <v>50</v>
      </c>
      <c r="AC53" s="27">
        <v>47</v>
      </c>
      <c r="AD53" s="27">
        <v>47</v>
      </c>
      <c r="AE53" s="27">
        <v>39</v>
      </c>
      <c r="AF53" s="27">
        <v>42</v>
      </c>
      <c r="AG53" s="27">
        <v>41</v>
      </c>
      <c r="AH53" s="27">
        <v>50</v>
      </c>
      <c r="AI53" s="27">
        <v>44</v>
      </c>
      <c r="AJ53" s="27">
        <v>50</v>
      </c>
      <c r="AK53" s="27">
        <v>52</v>
      </c>
      <c r="AL53" s="27">
        <v>52</v>
      </c>
      <c r="AM53" s="27">
        <v>47</v>
      </c>
      <c r="AN53" s="27">
        <v>48</v>
      </c>
      <c r="AO53" s="27">
        <v>44</v>
      </c>
      <c r="AP53" s="27">
        <v>41</v>
      </c>
      <c r="AQ53" s="27">
        <v>0</v>
      </c>
      <c r="AR53" s="27">
        <v>53</v>
      </c>
      <c r="AS53" s="27">
        <v>48</v>
      </c>
      <c r="AT53" s="27">
        <v>50</v>
      </c>
      <c r="AU53" s="27">
        <v>26</v>
      </c>
      <c r="AV53" s="27">
        <v>43</v>
      </c>
      <c r="AW53" s="27">
        <v>49</v>
      </c>
      <c r="AX53" s="23">
        <f t="shared" si="0"/>
        <v>1548</v>
      </c>
    </row>
    <row r="54" spans="4:50" ht="16.5" thickTop="1" thickBot="1" x14ac:dyDescent="0.3">
      <c r="D54" s="24">
        <v>52</v>
      </c>
      <c r="E54" s="21">
        <v>1641</v>
      </c>
      <c r="F54" s="21">
        <v>0</v>
      </c>
      <c r="G54" s="21">
        <v>57</v>
      </c>
      <c r="H54" s="21">
        <v>49</v>
      </c>
      <c r="I54" s="25">
        <v>43.184210526315788</v>
      </c>
      <c r="K54" s="24">
        <v>52</v>
      </c>
      <c r="L54" s="21">
        <v>50</v>
      </c>
      <c r="M54" s="21">
        <v>15</v>
      </c>
      <c r="N54" s="21">
        <v>14</v>
      </c>
      <c r="O54" s="21">
        <v>48</v>
      </c>
      <c r="P54" s="21">
        <v>32</v>
      </c>
      <c r="Q54" s="21">
        <v>41</v>
      </c>
      <c r="R54" s="21">
        <v>51</v>
      </c>
      <c r="S54" s="21">
        <v>2</v>
      </c>
      <c r="T54" s="21">
        <v>54</v>
      </c>
      <c r="U54" s="21">
        <v>48</v>
      </c>
      <c r="V54" s="21">
        <v>41</v>
      </c>
      <c r="W54" s="21">
        <v>48</v>
      </c>
      <c r="X54" s="21">
        <v>48</v>
      </c>
      <c r="Y54" s="21">
        <v>49</v>
      </c>
      <c r="Z54" s="21">
        <v>51</v>
      </c>
      <c r="AA54" s="21">
        <v>0</v>
      </c>
      <c r="AB54" s="21">
        <v>49</v>
      </c>
      <c r="AC54" s="21">
        <v>50</v>
      </c>
      <c r="AD54" s="21">
        <v>45</v>
      </c>
      <c r="AE54" s="21">
        <v>50</v>
      </c>
      <c r="AF54" s="21">
        <v>53</v>
      </c>
      <c r="AG54" s="21">
        <v>49</v>
      </c>
      <c r="AH54" s="21">
        <v>52</v>
      </c>
      <c r="AI54" s="21">
        <v>44</v>
      </c>
      <c r="AJ54" s="21">
        <v>55</v>
      </c>
      <c r="AK54" s="21">
        <v>52</v>
      </c>
      <c r="AL54" s="21">
        <v>51</v>
      </c>
      <c r="AM54" s="21">
        <v>40</v>
      </c>
      <c r="AN54" s="21">
        <v>51</v>
      </c>
      <c r="AO54" s="21">
        <v>46</v>
      </c>
      <c r="AP54" s="21">
        <v>52</v>
      </c>
      <c r="AQ54" s="21">
        <v>0</v>
      </c>
      <c r="AR54" s="21">
        <v>57</v>
      </c>
      <c r="AS54" s="21">
        <v>57</v>
      </c>
      <c r="AT54" s="21">
        <v>49</v>
      </c>
      <c r="AU54" s="21">
        <v>51</v>
      </c>
      <c r="AV54" s="21">
        <v>49</v>
      </c>
      <c r="AW54" s="21">
        <v>47</v>
      </c>
      <c r="AX54" s="23">
        <f t="shared" si="0"/>
        <v>1641</v>
      </c>
    </row>
    <row r="55" spans="4:50" ht="16.5" thickTop="1" thickBot="1" x14ac:dyDescent="0.3">
      <c r="D55" s="26">
        <v>53</v>
      </c>
      <c r="E55" s="27">
        <v>1525</v>
      </c>
      <c r="F55" s="27">
        <v>0</v>
      </c>
      <c r="G55" s="27">
        <v>55</v>
      </c>
      <c r="H55" s="27">
        <v>46</v>
      </c>
      <c r="I55" s="28">
        <v>40.131578947368418</v>
      </c>
      <c r="K55" s="26">
        <v>53</v>
      </c>
      <c r="L55" s="27">
        <v>55</v>
      </c>
      <c r="M55" s="27">
        <v>0</v>
      </c>
      <c r="N55" s="27">
        <v>1</v>
      </c>
      <c r="O55" s="27">
        <v>53</v>
      </c>
      <c r="P55" s="27">
        <v>34</v>
      </c>
      <c r="Q55" s="27">
        <v>42</v>
      </c>
      <c r="R55" s="27">
        <v>51</v>
      </c>
      <c r="S55" s="27">
        <v>2</v>
      </c>
      <c r="T55" s="27">
        <v>55</v>
      </c>
      <c r="U55" s="27">
        <v>46</v>
      </c>
      <c r="V55" s="27">
        <v>37</v>
      </c>
      <c r="W55" s="27">
        <v>44</v>
      </c>
      <c r="X55" s="27">
        <v>38</v>
      </c>
      <c r="Y55" s="27">
        <v>50</v>
      </c>
      <c r="Z55" s="27">
        <v>51</v>
      </c>
      <c r="AA55" s="27">
        <v>0</v>
      </c>
      <c r="AB55" s="27">
        <v>51</v>
      </c>
      <c r="AC55" s="27">
        <v>46</v>
      </c>
      <c r="AD55" s="27">
        <v>48</v>
      </c>
      <c r="AE55" s="27">
        <v>39</v>
      </c>
      <c r="AF55" s="27">
        <v>48</v>
      </c>
      <c r="AG55" s="27">
        <v>35</v>
      </c>
      <c r="AH55" s="27">
        <v>43</v>
      </c>
      <c r="AI55" s="27">
        <v>46</v>
      </c>
      <c r="AJ55" s="27">
        <v>46</v>
      </c>
      <c r="AK55" s="27">
        <v>46</v>
      </c>
      <c r="AL55" s="27">
        <v>50</v>
      </c>
      <c r="AM55" s="27">
        <v>48</v>
      </c>
      <c r="AN55" s="27">
        <v>47</v>
      </c>
      <c r="AO55" s="27">
        <v>45</v>
      </c>
      <c r="AP55" s="27">
        <v>48</v>
      </c>
      <c r="AQ55" s="27">
        <v>0</v>
      </c>
      <c r="AR55" s="27">
        <v>49</v>
      </c>
      <c r="AS55" s="27">
        <v>49</v>
      </c>
      <c r="AT55" s="27">
        <v>48</v>
      </c>
      <c r="AU55" s="27">
        <v>45</v>
      </c>
      <c r="AV55" s="27">
        <v>39</v>
      </c>
      <c r="AW55" s="27">
        <v>50</v>
      </c>
      <c r="AX55" s="23">
        <f t="shared" si="0"/>
        <v>1525</v>
      </c>
    </row>
    <row r="56" spans="4:50" ht="16.5" thickTop="1" thickBot="1" x14ac:dyDescent="0.3">
      <c r="D56" s="24">
        <v>54</v>
      </c>
      <c r="E56" s="21">
        <v>1531</v>
      </c>
      <c r="F56" s="21">
        <v>0</v>
      </c>
      <c r="G56" s="21">
        <v>54</v>
      </c>
      <c r="H56" s="21">
        <v>45</v>
      </c>
      <c r="I56" s="25">
        <v>40.289473684210527</v>
      </c>
      <c r="K56" s="24">
        <v>54</v>
      </c>
      <c r="L56" s="21">
        <v>54</v>
      </c>
      <c r="M56" s="21">
        <v>20</v>
      </c>
      <c r="N56" s="21">
        <v>6</v>
      </c>
      <c r="O56" s="21">
        <v>52</v>
      </c>
      <c r="P56" s="21">
        <v>25</v>
      </c>
      <c r="Q56" s="21">
        <v>44</v>
      </c>
      <c r="R56" s="21">
        <v>47</v>
      </c>
      <c r="S56" s="21">
        <v>5</v>
      </c>
      <c r="T56" s="21">
        <v>53</v>
      </c>
      <c r="U56" s="21">
        <v>44</v>
      </c>
      <c r="V56" s="21">
        <v>39</v>
      </c>
      <c r="W56" s="21">
        <v>49</v>
      </c>
      <c r="X56" s="21">
        <v>43</v>
      </c>
      <c r="Y56" s="21">
        <v>50</v>
      </c>
      <c r="Z56" s="21">
        <v>50</v>
      </c>
      <c r="AA56" s="21">
        <v>0</v>
      </c>
      <c r="AB56" s="21">
        <v>52</v>
      </c>
      <c r="AC56" s="21">
        <v>50</v>
      </c>
      <c r="AD56" s="21">
        <v>40</v>
      </c>
      <c r="AE56" s="21">
        <v>42</v>
      </c>
      <c r="AF56" s="21">
        <v>44</v>
      </c>
      <c r="AG56" s="21">
        <v>50</v>
      </c>
      <c r="AH56" s="21">
        <v>49</v>
      </c>
      <c r="AI56" s="21">
        <v>48</v>
      </c>
      <c r="AJ56" s="21">
        <v>50</v>
      </c>
      <c r="AK56" s="21">
        <v>42</v>
      </c>
      <c r="AL56" s="21">
        <v>51</v>
      </c>
      <c r="AM56" s="21">
        <v>45</v>
      </c>
      <c r="AN56" s="21">
        <v>48</v>
      </c>
      <c r="AO56" s="21">
        <v>47</v>
      </c>
      <c r="AP56" s="21">
        <v>35</v>
      </c>
      <c r="AQ56" s="21">
        <v>0</v>
      </c>
      <c r="AR56" s="21">
        <v>52</v>
      </c>
      <c r="AS56" s="21">
        <v>47</v>
      </c>
      <c r="AT56" s="21">
        <v>43</v>
      </c>
      <c r="AU56" s="21">
        <v>28</v>
      </c>
      <c r="AV56" s="21">
        <v>45</v>
      </c>
      <c r="AW56" s="21">
        <v>42</v>
      </c>
      <c r="AX56" s="23">
        <f t="shared" si="0"/>
        <v>1531</v>
      </c>
    </row>
    <row r="57" spans="4:50" ht="16.5" thickTop="1" thickBot="1" x14ac:dyDescent="0.3">
      <c r="D57" s="26">
        <v>55</v>
      </c>
      <c r="E57" s="27">
        <v>1609</v>
      </c>
      <c r="F57" s="27">
        <v>0</v>
      </c>
      <c r="G57" s="27">
        <v>58</v>
      </c>
      <c r="H57" s="27">
        <v>46</v>
      </c>
      <c r="I57" s="28">
        <v>42.342105263157897</v>
      </c>
      <c r="K57" s="26">
        <v>55</v>
      </c>
      <c r="L57" s="27">
        <v>58</v>
      </c>
      <c r="M57" s="27">
        <v>38</v>
      </c>
      <c r="N57" s="27">
        <v>2</v>
      </c>
      <c r="O57" s="27">
        <v>46</v>
      </c>
      <c r="P57" s="27">
        <v>29</v>
      </c>
      <c r="Q57" s="27">
        <v>43</v>
      </c>
      <c r="R57" s="27">
        <v>47</v>
      </c>
      <c r="S57" s="27">
        <v>9</v>
      </c>
      <c r="T57" s="27">
        <v>58</v>
      </c>
      <c r="U57" s="27">
        <v>43</v>
      </c>
      <c r="V57" s="27">
        <v>51</v>
      </c>
      <c r="W57" s="27">
        <v>44</v>
      </c>
      <c r="X57" s="27">
        <v>41</v>
      </c>
      <c r="Y57" s="27">
        <v>46</v>
      </c>
      <c r="Z57" s="27">
        <v>48</v>
      </c>
      <c r="AA57" s="27">
        <v>0</v>
      </c>
      <c r="AB57" s="27">
        <v>55</v>
      </c>
      <c r="AC57" s="27">
        <v>47</v>
      </c>
      <c r="AD57" s="27">
        <v>50</v>
      </c>
      <c r="AE57" s="27">
        <v>44</v>
      </c>
      <c r="AF57" s="27">
        <v>48</v>
      </c>
      <c r="AG57" s="27">
        <v>45</v>
      </c>
      <c r="AH57" s="27">
        <v>56</v>
      </c>
      <c r="AI57" s="27">
        <v>47</v>
      </c>
      <c r="AJ57" s="27">
        <v>50</v>
      </c>
      <c r="AK57" s="27">
        <v>47</v>
      </c>
      <c r="AL57" s="27">
        <v>46</v>
      </c>
      <c r="AM57" s="27">
        <v>45</v>
      </c>
      <c r="AN57" s="27">
        <v>52</v>
      </c>
      <c r="AO57" s="27">
        <v>54</v>
      </c>
      <c r="AP57" s="27">
        <v>45</v>
      </c>
      <c r="AQ57" s="27">
        <v>0</v>
      </c>
      <c r="AR57" s="27">
        <v>48</v>
      </c>
      <c r="AS57" s="27">
        <v>43</v>
      </c>
      <c r="AT57" s="27">
        <v>49</v>
      </c>
      <c r="AU57" s="27">
        <v>51</v>
      </c>
      <c r="AV57" s="27">
        <v>41</v>
      </c>
      <c r="AW57" s="27">
        <v>43</v>
      </c>
      <c r="AX57" s="23">
        <f t="shared" si="0"/>
        <v>1609</v>
      </c>
    </row>
    <row r="58" spans="4:50" ht="16.5" thickTop="1" thickBot="1" x14ac:dyDescent="0.3">
      <c r="D58" s="24">
        <v>56</v>
      </c>
      <c r="E58" s="21">
        <v>1505</v>
      </c>
      <c r="F58" s="21">
        <v>0</v>
      </c>
      <c r="G58" s="21">
        <v>54</v>
      </c>
      <c r="H58" s="21">
        <v>44</v>
      </c>
      <c r="I58" s="25">
        <v>39.60526315789474</v>
      </c>
      <c r="K58" s="24">
        <v>56</v>
      </c>
      <c r="L58" s="21">
        <v>50</v>
      </c>
      <c r="M58" s="21">
        <v>32</v>
      </c>
      <c r="N58" s="21">
        <v>3</v>
      </c>
      <c r="O58" s="21">
        <v>51</v>
      </c>
      <c r="P58" s="21">
        <v>20</v>
      </c>
      <c r="Q58" s="21">
        <v>42</v>
      </c>
      <c r="R58" s="21">
        <v>50</v>
      </c>
      <c r="S58" s="21">
        <v>0</v>
      </c>
      <c r="T58" s="21">
        <v>50</v>
      </c>
      <c r="U58" s="21">
        <v>44</v>
      </c>
      <c r="V58" s="21">
        <v>42</v>
      </c>
      <c r="W58" s="21">
        <v>44</v>
      </c>
      <c r="X58" s="21">
        <v>45</v>
      </c>
      <c r="Y58" s="21">
        <v>48</v>
      </c>
      <c r="Z58" s="21">
        <v>54</v>
      </c>
      <c r="AA58" s="21">
        <v>0</v>
      </c>
      <c r="AB58" s="21">
        <v>51</v>
      </c>
      <c r="AC58" s="21">
        <v>50</v>
      </c>
      <c r="AD58" s="21">
        <v>44</v>
      </c>
      <c r="AE58" s="21">
        <v>40</v>
      </c>
      <c r="AF58" s="21">
        <v>35</v>
      </c>
      <c r="AG58" s="21">
        <v>44</v>
      </c>
      <c r="AH58" s="21">
        <v>50</v>
      </c>
      <c r="AI58" s="21">
        <v>47</v>
      </c>
      <c r="AJ58" s="21">
        <v>43</v>
      </c>
      <c r="AK58" s="21">
        <v>41</v>
      </c>
      <c r="AL58" s="21">
        <v>51</v>
      </c>
      <c r="AM58" s="21">
        <v>45</v>
      </c>
      <c r="AN58" s="21">
        <v>46</v>
      </c>
      <c r="AO58" s="21">
        <v>47</v>
      </c>
      <c r="AP58" s="21">
        <v>40</v>
      </c>
      <c r="AQ58" s="21">
        <v>0</v>
      </c>
      <c r="AR58" s="21">
        <v>52</v>
      </c>
      <c r="AS58" s="21">
        <v>44</v>
      </c>
      <c r="AT58" s="21">
        <v>50</v>
      </c>
      <c r="AU58" s="21">
        <v>25</v>
      </c>
      <c r="AV58" s="21">
        <v>40</v>
      </c>
      <c r="AW58" s="21">
        <v>45</v>
      </c>
      <c r="AX58" s="23">
        <f t="shared" si="0"/>
        <v>1505</v>
      </c>
    </row>
    <row r="59" spans="4:50" ht="16.5" thickTop="1" thickBot="1" x14ac:dyDescent="0.3">
      <c r="D59" s="26">
        <v>57</v>
      </c>
      <c r="E59" s="27">
        <v>1585</v>
      </c>
      <c r="F59" s="27">
        <v>0</v>
      </c>
      <c r="G59" s="27">
        <v>57</v>
      </c>
      <c r="H59" s="27">
        <v>46.5</v>
      </c>
      <c r="I59" s="28">
        <v>41.710526315789473</v>
      </c>
      <c r="K59" s="26">
        <v>57</v>
      </c>
      <c r="L59" s="27">
        <v>55</v>
      </c>
      <c r="M59" s="27">
        <v>49</v>
      </c>
      <c r="N59" s="27">
        <v>5</v>
      </c>
      <c r="O59" s="27">
        <v>47</v>
      </c>
      <c r="P59" s="27">
        <v>25</v>
      </c>
      <c r="Q59" s="27">
        <v>44</v>
      </c>
      <c r="R59" s="27">
        <v>54</v>
      </c>
      <c r="S59" s="27">
        <v>0</v>
      </c>
      <c r="T59" s="27">
        <v>55</v>
      </c>
      <c r="U59" s="27">
        <v>45</v>
      </c>
      <c r="V59" s="27">
        <v>34</v>
      </c>
      <c r="W59" s="27">
        <v>45</v>
      </c>
      <c r="X59" s="27">
        <v>43</v>
      </c>
      <c r="Y59" s="27">
        <v>48</v>
      </c>
      <c r="Z59" s="27">
        <v>57</v>
      </c>
      <c r="AA59" s="27">
        <v>0</v>
      </c>
      <c r="AB59" s="27">
        <v>49</v>
      </c>
      <c r="AC59" s="27">
        <v>44</v>
      </c>
      <c r="AD59" s="27">
        <v>43</v>
      </c>
      <c r="AE59" s="27">
        <v>47</v>
      </c>
      <c r="AF59" s="27">
        <v>50</v>
      </c>
      <c r="AG59" s="27">
        <v>53</v>
      </c>
      <c r="AH59" s="27">
        <v>48</v>
      </c>
      <c r="AI59" s="27">
        <v>46</v>
      </c>
      <c r="AJ59" s="27">
        <v>52</v>
      </c>
      <c r="AK59" s="27">
        <v>50</v>
      </c>
      <c r="AL59" s="27">
        <v>52</v>
      </c>
      <c r="AM59" s="27">
        <v>48</v>
      </c>
      <c r="AN59" s="27">
        <v>49</v>
      </c>
      <c r="AO59" s="27">
        <v>39</v>
      </c>
      <c r="AP59" s="27">
        <v>38</v>
      </c>
      <c r="AQ59" s="27">
        <v>0</v>
      </c>
      <c r="AR59" s="27">
        <v>37</v>
      </c>
      <c r="AS59" s="27">
        <v>40</v>
      </c>
      <c r="AT59" s="27">
        <v>57</v>
      </c>
      <c r="AU59" s="27">
        <v>44</v>
      </c>
      <c r="AV59" s="27">
        <v>46</v>
      </c>
      <c r="AW59" s="27">
        <v>47</v>
      </c>
      <c r="AX59" s="23">
        <f t="shared" si="0"/>
        <v>1585</v>
      </c>
    </row>
    <row r="60" spans="4:50" ht="16.5" thickTop="1" thickBot="1" x14ac:dyDescent="0.3">
      <c r="D60" s="24">
        <v>58</v>
      </c>
      <c r="E60" s="21">
        <v>1507</v>
      </c>
      <c r="F60" s="21">
        <v>0</v>
      </c>
      <c r="G60" s="21">
        <v>53</v>
      </c>
      <c r="H60" s="21">
        <v>44.5</v>
      </c>
      <c r="I60" s="25">
        <v>39.657894736842103</v>
      </c>
      <c r="K60" s="24">
        <v>58</v>
      </c>
      <c r="L60" s="21">
        <v>48</v>
      </c>
      <c r="M60" s="21">
        <v>44</v>
      </c>
      <c r="N60" s="21">
        <v>12</v>
      </c>
      <c r="O60" s="21">
        <v>47</v>
      </c>
      <c r="P60" s="21">
        <v>26</v>
      </c>
      <c r="Q60" s="21">
        <v>38</v>
      </c>
      <c r="R60" s="21">
        <v>44</v>
      </c>
      <c r="S60" s="21">
        <v>1</v>
      </c>
      <c r="T60" s="21">
        <v>50</v>
      </c>
      <c r="U60" s="21">
        <v>39</v>
      </c>
      <c r="V60" s="21">
        <v>32</v>
      </c>
      <c r="W60" s="21">
        <v>45</v>
      </c>
      <c r="X60" s="21">
        <v>42</v>
      </c>
      <c r="Y60" s="21">
        <v>52</v>
      </c>
      <c r="Z60" s="21">
        <v>48</v>
      </c>
      <c r="AA60" s="21">
        <v>0</v>
      </c>
      <c r="AB60" s="21">
        <v>46</v>
      </c>
      <c r="AC60" s="21">
        <v>45</v>
      </c>
      <c r="AD60" s="21">
        <v>46</v>
      </c>
      <c r="AE60" s="21">
        <v>40</v>
      </c>
      <c r="AF60" s="21">
        <v>45</v>
      </c>
      <c r="AG60" s="21">
        <v>39</v>
      </c>
      <c r="AH60" s="21">
        <v>46</v>
      </c>
      <c r="AI60" s="21">
        <v>49</v>
      </c>
      <c r="AJ60" s="21">
        <v>49</v>
      </c>
      <c r="AK60" s="21">
        <v>38</v>
      </c>
      <c r="AL60" s="21">
        <v>53</v>
      </c>
      <c r="AM60" s="21">
        <v>44</v>
      </c>
      <c r="AN60" s="21">
        <v>44</v>
      </c>
      <c r="AO60" s="21">
        <v>48</v>
      </c>
      <c r="AP60" s="21">
        <v>45</v>
      </c>
      <c r="AQ60" s="21">
        <v>0</v>
      </c>
      <c r="AR60" s="21">
        <v>45</v>
      </c>
      <c r="AS60" s="21">
        <v>50</v>
      </c>
      <c r="AT60" s="21">
        <v>46</v>
      </c>
      <c r="AU60" s="21">
        <v>38</v>
      </c>
      <c r="AV60" s="21">
        <v>39</v>
      </c>
      <c r="AW60" s="21">
        <v>44</v>
      </c>
      <c r="AX60" s="23">
        <f t="shared" si="0"/>
        <v>1507</v>
      </c>
    </row>
    <row r="61" spans="4:50" ht="16.5" thickTop="1" thickBot="1" x14ac:dyDescent="0.3">
      <c r="D61" s="26">
        <v>59</v>
      </c>
      <c r="E61" s="27">
        <v>1616</v>
      </c>
      <c r="F61" s="27">
        <v>0</v>
      </c>
      <c r="G61" s="27">
        <v>55</v>
      </c>
      <c r="H61" s="27">
        <v>48</v>
      </c>
      <c r="I61" s="28">
        <v>42.526315789473685</v>
      </c>
      <c r="K61" s="26">
        <v>59</v>
      </c>
      <c r="L61" s="27">
        <v>55</v>
      </c>
      <c r="M61" s="27">
        <v>49</v>
      </c>
      <c r="N61" s="27">
        <v>1</v>
      </c>
      <c r="O61" s="27">
        <v>48</v>
      </c>
      <c r="P61" s="27">
        <v>24</v>
      </c>
      <c r="Q61" s="27">
        <v>50</v>
      </c>
      <c r="R61" s="27">
        <v>52</v>
      </c>
      <c r="S61" s="27">
        <v>0</v>
      </c>
      <c r="T61" s="27">
        <v>53</v>
      </c>
      <c r="U61" s="27">
        <v>42</v>
      </c>
      <c r="V61" s="27">
        <v>39</v>
      </c>
      <c r="W61" s="27">
        <v>45</v>
      </c>
      <c r="X61" s="27">
        <v>47</v>
      </c>
      <c r="Y61" s="27">
        <v>50</v>
      </c>
      <c r="Z61" s="27">
        <v>51</v>
      </c>
      <c r="AA61" s="27">
        <v>0</v>
      </c>
      <c r="AB61" s="27">
        <v>54</v>
      </c>
      <c r="AC61" s="27">
        <v>49</v>
      </c>
      <c r="AD61" s="27">
        <v>48</v>
      </c>
      <c r="AE61" s="27">
        <v>41</v>
      </c>
      <c r="AF61" s="27">
        <v>47</v>
      </c>
      <c r="AG61" s="27">
        <v>48</v>
      </c>
      <c r="AH61" s="27">
        <v>49</v>
      </c>
      <c r="AI61" s="27">
        <v>48</v>
      </c>
      <c r="AJ61" s="27">
        <v>53</v>
      </c>
      <c r="AK61" s="27">
        <v>52</v>
      </c>
      <c r="AL61" s="27">
        <v>50</v>
      </c>
      <c r="AM61" s="27">
        <v>44</v>
      </c>
      <c r="AN61" s="27">
        <v>50</v>
      </c>
      <c r="AO61" s="27">
        <v>44</v>
      </c>
      <c r="AP61" s="27">
        <v>48</v>
      </c>
      <c r="AQ61" s="27">
        <v>0</v>
      </c>
      <c r="AR61" s="27">
        <v>43</v>
      </c>
      <c r="AS61" s="27">
        <v>42</v>
      </c>
      <c r="AT61" s="27">
        <v>49</v>
      </c>
      <c r="AU61" s="27">
        <v>53</v>
      </c>
      <c r="AV61" s="27">
        <v>51</v>
      </c>
      <c r="AW61" s="27">
        <v>47</v>
      </c>
      <c r="AX61" s="23">
        <f t="shared" si="0"/>
        <v>1616</v>
      </c>
    </row>
    <row r="62" spans="4:50" ht="15.75" thickTop="1" x14ac:dyDescent="0.25">
      <c r="D62" s="29">
        <v>60</v>
      </c>
      <c r="E62" s="21">
        <v>1534</v>
      </c>
      <c r="F62" s="21">
        <v>0</v>
      </c>
      <c r="G62" s="21">
        <v>57</v>
      </c>
      <c r="H62" s="21">
        <v>45</v>
      </c>
      <c r="I62" s="25">
        <v>40.368421052631582</v>
      </c>
      <c r="K62" s="24">
        <v>60</v>
      </c>
      <c r="L62" s="21">
        <v>57</v>
      </c>
      <c r="M62" s="21">
        <v>36</v>
      </c>
      <c r="N62" s="21">
        <v>0</v>
      </c>
      <c r="O62" s="21">
        <v>47</v>
      </c>
      <c r="P62" s="21">
        <v>25</v>
      </c>
      <c r="Q62" s="21">
        <v>39</v>
      </c>
      <c r="R62" s="21">
        <v>45</v>
      </c>
      <c r="S62" s="21">
        <v>0</v>
      </c>
      <c r="T62" s="21">
        <v>56</v>
      </c>
      <c r="U62" s="21">
        <v>43</v>
      </c>
      <c r="V62" s="21">
        <v>34</v>
      </c>
      <c r="W62" s="21">
        <v>45</v>
      </c>
      <c r="X62" s="21">
        <v>42</v>
      </c>
      <c r="Y62" s="21">
        <v>48</v>
      </c>
      <c r="Z62" s="21">
        <v>48</v>
      </c>
      <c r="AA62" s="21">
        <v>0</v>
      </c>
      <c r="AB62" s="21">
        <v>52</v>
      </c>
      <c r="AC62" s="21">
        <v>49</v>
      </c>
      <c r="AD62" s="21">
        <v>49</v>
      </c>
      <c r="AE62" s="21">
        <v>44</v>
      </c>
      <c r="AF62" s="21">
        <v>42</v>
      </c>
      <c r="AG62" s="21">
        <v>35</v>
      </c>
      <c r="AH62" s="21">
        <v>46</v>
      </c>
      <c r="AI62" s="21">
        <v>49</v>
      </c>
      <c r="AJ62" s="21">
        <v>52</v>
      </c>
      <c r="AK62" s="21">
        <v>35</v>
      </c>
      <c r="AL62" s="21">
        <v>55</v>
      </c>
      <c r="AM62" s="21">
        <v>45</v>
      </c>
      <c r="AN62" s="21">
        <v>50</v>
      </c>
      <c r="AO62" s="21">
        <v>47</v>
      </c>
      <c r="AP62" s="21">
        <v>39</v>
      </c>
      <c r="AQ62" s="21">
        <v>0</v>
      </c>
      <c r="AR62" s="21">
        <v>46</v>
      </c>
      <c r="AS62" s="21">
        <v>50</v>
      </c>
      <c r="AT62" s="21">
        <v>47</v>
      </c>
      <c r="AU62" s="21">
        <v>53</v>
      </c>
      <c r="AV62" s="21">
        <v>44</v>
      </c>
      <c r="AW62" s="21">
        <v>40</v>
      </c>
      <c r="AX62" s="23">
        <f t="shared" si="0"/>
        <v>1534</v>
      </c>
    </row>
    <row r="64" spans="4:50" x14ac:dyDescent="0.25">
      <c r="D64" s="3" t="s">
        <v>109</v>
      </c>
      <c r="E64">
        <f>SUM(E3:E62)</f>
        <v>95471</v>
      </c>
      <c r="H64" s="3"/>
    </row>
    <row r="65" spans="11:49" x14ac:dyDescent="0.25">
      <c r="K65" t="s">
        <v>115</v>
      </c>
      <c r="L65">
        <f>MAX(Summary!$L$3:$L$62)</f>
        <v>61</v>
      </c>
      <c r="M65">
        <f>MAX(Summary!$M$3:$M$62)</f>
        <v>52</v>
      </c>
      <c r="N65">
        <f>MAX(Summary!$N$3:$N$62)</f>
        <v>38</v>
      </c>
      <c r="O65">
        <f>MAX(Summary!$O$3:$O$62)</f>
        <v>60</v>
      </c>
      <c r="P65">
        <f>MAX(Summary!$P$3:$P$62)</f>
        <v>37</v>
      </c>
      <c r="Q65">
        <f>MAX(Summary!$Q$3:$Q$62)</f>
        <v>50</v>
      </c>
      <c r="R65">
        <f>MAX(Summary!$R$3:$R$62)</f>
        <v>55</v>
      </c>
      <c r="S65">
        <f>MAX(Summary!$S$3:$S$62)</f>
        <v>52</v>
      </c>
      <c r="T65">
        <f>MAX(Summary!$T$3:$T$62)</f>
        <v>62</v>
      </c>
      <c r="U65">
        <f>MAX(Summary!$U$3:$U$62)</f>
        <v>51</v>
      </c>
      <c r="V65">
        <f>MAX(Summary!$V$3:$V$62)</f>
        <v>51</v>
      </c>
      <c r="W65">
        <f>MAX(Summary!$W$3:$W$62)</f>
        <v>51</v>
      </c>
      <c r="X65">
        <f>MAX(Summary!$X$3:$X$62)</f>
        <v>50</v>
      </c>
      <c r="Y65">
        <f>MAX(Summary!$Y$3:$Y$62)</f>
        <v>55</v>
      </c>
      <c r="Z65">
        <f>MAX(Summary!$Z$3:$Z$62)</f>
        <v>58</v>
      </c>
      <c r="AA65">
        <f>MAX(Summary!$AA$3:$AA$62)</f>
        <v>50</v>
      </c>
      <c r="AB65">
        <f>MAX(Summary!$AB$3:$AB$62)</f>
        <v>59</v>
      </c>
      <c r="AC65">
        <f>MAX(Summary!$AC$3:$AC$62)</f>
        <v>50</v>
      </c>
      <c r="AD65">
        <f>MAX(Summary!$AD$3:$AD$62)</f>
        <v>55</v>
      </c>
      <c r="AE65">
        <f>MAX(Summary!$AE$3:$AE$62)</f>
        <v>50</v>
      </c>
      <c r="AF65">
        <f>MAX(Summary!$AF$3:$AF$62)</f>
        <v>53</v>
      </c>
      <c r="AG65">
        <f>MAX(Summary!$AG$3:$AG$62)</f>
        <v>54</v>
      </c>
      <c r="AH65">
        <f>MAX(Summary!$AH$3:$AH$62)</f>
        <v>57</v>
      </c>
      <c r="AI65">
        <f>MAX(Summary!$AI$3:$AI$62)</f>
        <v>59</v>
      </c>
      <c r="AJ65">
        <f>MAX(Summary!$AJ$3:$AJ$62)</f>
        <v>56</v>
      </c>
      <c r="AK65">
        <f>MAX(Summary!$AK$3:$AK$62)</f>
        <v>56</v>
      </c>
      <c r="AL65">
        <f>MAX(Summary!$AL$3:$AL$62)</f>
        <v>62</v>
      </c>
      <c r="AM65">
        <f>MAX(Summary!$AM$3:$AM$62)</f>
        <v>51</v>
      </c>
      <c r="AN65">
        <f>MAX(Summary!$AN$3:$AN$62)</f>
        <v>56</v>
      </c>
      <c r="AO65">
        <f>MAX(Summary!$AO$3:$AO$62)</f>
        <v>54</v>
      </c>
      <c r="AP65">
        <f>MAX(Summary!$AP$3:$AP$62)</f>
        <v>54</v>
      </c>
      <c r="AQ65">
        <f>MAX(Summary!$AQ$3:$AQ$62)</f>
        <v>50</v>
      </c>
      <c r="AR65">
        <f>MAX(Summary!$AR$3:$AR$62)</f>
        <v>57</v>
      </c>
      <c r="AS65">
        <f>MAX(Summary!$AS$3:$AS$62)</f>
        <v>57</v>
      </c>
      <c r="AT65">
        <f>MAX(Summary!$AT$3:$AT$62)</f>
        <v>57</v>
      </c>
      <c r="AU65">
        <f>MAX(Summary!$AU$3:$AU$62)</f>
        <v>54</v>
      </c>
      <c r="AV65">
        <f>MAX(Summary!$AV$3:$AV$62)</f>
        <v>52</v>
      </c>
      <c r="AW65">
        <f>MAX(Summary!$AW$3:$AW$62)</f>
        <v>55</v>
      </c>
    </row>
    <row r="66" spans="11:49" x14ac:dyDescent="0.25">
      <c r="K66" t="s">
        <v>116</v>
      </c>
      <c r="L66">
        <f>MIN(Summary!$L$3:$L$62)</f>
        <v>42</v>
      </c>
      <c r="M66">
        <f>MIN(Summary!$M$3:$M$62)</f>
        <v>0</v>
      </c>
      <c r="N66">
        <f>MIN(Summary!$N$3:$N$62)</f>
        <v>0</v>
      </c>
      <c r="O66">
        <f>MIN(Summary!$O$3:$O$62)</f>
        <v>43</v>
      </c>
      <c r="P66">
        <f>MIN(Summary!$P$3:$P$62)</f>
        <v>14</v>
      </c>
      <c r="Q66">
        <f>MIN(Summary!$Q$3:$Q$62)</f>
        <v>21</v>
      </c>
      <c r="R66">
        <f>MIN(Summary!$R$3:$R$62)</f>
        <v>37</v>
      </c>
      <c r="S66">
        <f>MIN(Summary!$S$3:$S$62)</f>
        <v>0</v>
      </c>
      <c r="T66">
        <f>MIN(Summary!$T$3:$T$62)</f>
        <v>42</v>
      </c>
      <c r="U66">
        <f>MIN(Summary!$U$3:$U$62)</f>
        <v>34</v>
      </c>
      <c r="V66">
        <f>MIN(Summary!$V$3:$V$62)</f>
        <v>22</v>
      </c>
      <c r="W66">
        <f>MIN(Summary!$W$3:$W$62)</f>
        <v>43</v>
      </c>
      <c r="X66">
        <f>MIN(Summary!$X$3:$X$62)</f>
        <v>24</v>
      </c>
      <c r="Y66">
        <f>MIN(Summary!$Y$3:$Y$62)</f>
        <v>43</v>
      </c>
      <c r="Z66">
        <f>MIN(Summary!$Z$3:$Z$62)</f>
        <v>40</v>
      </c>
      <c r="AA66">
        <f>MIN(Summary!$AA$3:$AA$62)</f>
        <v>0</v>
      </c>
      <c r="AB66">
        <f>MIN(Summary!$AB$3:$AB$62)</f>
        <v>41</v>
      </c>
      <c r="AC66">
        <f>MIN(Summary!$AC$3:$AC$62)</f>
        <v>0</v>
      </c>
      <c r="AD66">
        <f>MIN(Summary!$AD$3:$AD$62)</f>
        <v>40</v>
      </c>
      <c r="AE66">
        <f>MIN(Summary!$AE$3:$AE$62)</f>
        <v>38</v>
      </c>
      <c r="AF66">
        <f>MIN(Summary!$AF$3:$AF$62)</f>
        <v>35</v>
      </c>
      <c r="AG66">
        <f>MIN(Summary!$AG$3:$AG$62)</f>
        <v>20</v>
      </c>
      <c r="AH66">
        <f>MIN(Summary!$AH$3:$AH$62)</f>
        <v>42</v>
      </c>
      <c r="AI66">
        <f>MIN(Summary!$AI$3:$AI$62)</f>
        <v>35</v>
      </c>
      <c r="AJ66">
        <f>MIN(Summary!$AJ$3:$AJ$62)</f>
        <v>38</v>
      </c>
      <c r="AK66">
        <f>MIN(Summary!$AK$3:$AK$62)</f>
        <v>35</v>
      </c>
      <c r="AL66">
        <f>MIN(Summary!$AL$3:$AL$62)</f>
        <v>37</v>
      </c>
      <c r="AM66">
        <f>MIN(Summary!$AM$3:$AM$62)</f>
        <v>36</v>
      </c>
      <c r="AN66">
        <f>MIN(Summary!$AN$3:$AN$62)</f>
        <v>43</v>
      </c>
      <c r="AO66">
        <f>MIN(Summary!$AO$3:$AO$62)</f>
        <v>32</v>
      </c>
      <c r="AP66">
        <f>MIN(Summary!$AP$3:$AP$62)</f>
        <v>35</v>
      </c>
      <c r="AQ66">
        <f>MIN(Summary!$AQ$3:$AQ$62)</f>
        <v>0</v>
      </c>
      <c r="AR66">
        <f>MIN(Summary!$AR$3:$AR$62)</f>
        <v>37</v>
      </c>
      <c r="AS66">
        <f>MIN(Summary!$AS$3:$AS$62)</f>
        <v>38</v>
      </c>
      <c r="AT66">
        <f>MIN(Summary!$AT$3:$AT$62)</f>
        <v>40</v>
      </c>
      <c r="AU66">
        <f>MIN(Summary!$AU$3:$AU$62)</f>
        <v>20</v>
      </c>
      <c r="AV66">
        <f>MIN(Summary!$AV$3:$AV$62)</f>
        <v>36</v>
      </c>
      <c r="AW66">
        <f>MIN(Summary!$AW$3:$AW$62)</f>
        <v>36</v>
      </c>
    </row>
    <row r="67" spans="11:49" x14ac:dyDescent="0.25">
      <c r="K67" t="s">
        <v>117</v>
      </c>
      <c r="L67">
        <f>MEDIAN(Summary!$L$3:$L$62)</f>
        <v>53</v>
      </c>
      <c r="M67">
        <f>MEDIAN(Summary!$M$3:$M$62)</f>
        <v>40</v>
      </c>
      <c r="N67">
        <f>MEDIAN(Summary!$N$3:$N$62)</f>
        <v>1</v>
      </c>
      <c r="O67">
        <f>MEDIAN(Summary!$O$3:$O$62)</f>
        <v>49</v>
      </c>
      <c r="P67">
        <f>MEDIAN(Summary!$P$3:$P$62)</f>
        <v>25.5</v>
      </c>
      <c r="Q67">
        <f>MEDIAN(Summary!$Q$3:$Q$62)</f>
        <v>41.5</v>
      </c>
      <c r="R67">
        <f>MEDIAN(Summary!$R$3:$R$62)</f>
        <v>50</v>
      </c>
      <c r="S67">
        <f>MEDIAN(Summary!$S$3:$S$62)</f>
        <v>30.5</v>
      </c>
      <c r="T67">
        <f>MEDIAN(Summary!$T$3:$T$62)</f>
        <v>53.5</v>
      </c>
      <c r="U67">
        <f>MEDIAN(Summary!$U$3:$U$62)</f>
        <v>45</v>
      </c>
      <c r="V67">
        <f>MEDIAN(Summary!$V$3:$V$62)</f>
        <v>42</v>
      </c>
      <c r="W67">
        <f>MEDIAN(Summary!$W$3:$W$62)</f>
        <v>46</v>
      </c>
      <c r="X67">
        <f>MEDIAN(Summary!$X$3:$X$62)</f>
        <v>43.5</v>
      </c>
      <c r="Y67">
        <f>MEDIAN(Summary!$Y$3:$Y$62)</f>
        <v>48</v>
      </c>
      <c r="Z67">
        <f>MEDIAN(Summary!$Z$3:$Z$62)</f>
        <v>50</v>
      </c>
      <c r="AA67">
        <f>MEDIAN(Summary!$AA$3:$AA$62)</f>
        <v>0</v>
      </c>
      <c r="AB67">
        <f>MEDIAN(Summary!$AB$3:$AB$62)</f>
        <v>50</v>
      </c>
      <c r="AC67">
        <f>MEDIAN(Summary!$AC$3:$AC$62)</f>
        <v>11</v>
      </c>
      <c r="AD67">
        <f>MEDIAN(Summary!$AD$3:$AD$62)</f>
        <v>47</v>
      </c>
      <c r="AE67">
        <f>MEDIAN(Summary!$AE$3:$AE$62)</f>
        <v>42</v>
      </c>
      <c r="AF67">
        <f>MEDIAN(Summary!$AF$3:$AF$62)</f>
        <v>44</v>
      </c>
      <c r="AG67">
        <f>MEDIAN(Summary!$AG$3:$AG$62)</f>
        <v>44</v>
      </c>
      <c r="AH67">
        <f>MEDIAN(Summary!$AH$3:$AH$62)</f>
        <v>48</v>
      </c>
      <c r="AI67">
        <f>MEDIAN(Summary!$AI$3:$AI$62)</f>
        <v>46</v>
      </c>
      <c r="AJ67">
        <f>MEDIAN(Summary!$AJ$3:$AJ$62)</f>
        <v>47.5</v>
      </c>
      <c r="AK67">
        <f>MEDIAN(Summary!$AK$3:$AK$62)</f>
        <v>46</v>
      </c>
      <c r="AL67">
        <f>MEDIAN(Summary!$AL$3:$AL$62)</f>
        <v>51</v>
      </c>
      <c r="AM67">
        <f>MEDIAN(Summary!$AM$3:$AM$62)</f>
        <v>45</v>
      </c>
      <c r="AN67">
        <f>MEDIAN(Summary!$AN$3:$AN$62)</f>
        <v>48</v>
      </c>
      <c r="AO67">
        <f>MEDIAN(Summary!$AO$3:$AO$62)</f>
        <v>47</v>
      </c>
      <c r="AP67">
        <f>MEDIAN(Summary!$AP$3:$AP$62)</f>
        <v>45</v>
      </c>
      <c r="AQ67">
        <f>MEDIAN(Summary!$AQ$3:$AQ$62)</f>
        <v>29</v>
      </c>
      <c r="AR67">
        <f>MEDIAN(Summary!$AR$3:$AR$62)</f>
        <v>49</v>
      </c>
      <c r="AS67">
        <f>MEDIAN(Summary!$AS$3:$AS$62)</f>
        <v>46</v>
      </c>
      <c r="AT67">
        <f>MEDIAN(Summary!$AT$3:$AT$62)</f>
        <v>49</v>
      </c>
      <c r="AU67">
        <f>MEDIAN(Summary!$AU$3:$AU$62)</f>
        <v>41.5</v>
      </c>
      <c r="AV67">
        <f>MEDIAN(Summary!$AV$3:$AV$62)</f>
        <v>45</v>
      </c>
      <c r="AW67">
        <f>MEDIAN(Summary!$AW$3:$AW$62)</f>
        <v>46</v>
      </c>
    </row>
    <row r="68" spans="11:49" x14ac:dyDescent="0.25">
      <c r="K68" s="2" t="s">
        <v>118</v>
      </c>
      <c r="L68" s="2">
        <f>AVERAGE(Summary!$L$3:$L$62)</f>
        <v>52.416666666666664</v>
      </c>
      <c r="M68" s="2">
        <f>AVERAGE(Summary!$M$3:$M$62)</f>
        <v>35.299999999999997</v>
      </c>
      <c r="N68" s="2">
        <f>AVERAGE(Summary!$N$3:$N$62)</f>
        <v>4.6500000000000004</v>
      </c>
      <c r="O68" s="2">
        <f>AVERAGE(Summary!$O$3:$O$62)</f>
        <v>49.233333333333334</v>
      </c>
      <c r="P68" s="2">
        <f>AVERAGE(Summary!$P$3:$P$62)</f>
        <v>26.3</v>
      </c>
      <c r="Q68" s="2">
        <f>AVERAGE(Summary!$Q$3:$Q$62)</f>
        <v>41.116666666666667</v>
      </c>
      <c r="R68" s="2">
        <f>AVERAGE(Summary!$R$3:$R$62)</f>
        <v>49.35</v>
      </c>
      <c r="S68" s="2">
        <f>AVERAGE(Summary!$S$3:$S$62)</f>
        <v>25.4</v>
      </c>
      <c r="T68" s="2">
        <f>AVERAGE(Summary!$T$3:$T$62)</f>
        <v>53.266666666666666</v>
      </c>
      <c r="U68" s="2">
        <f>AVERAGE(Summary!$U$3:$U$62)</f>
        <v>44.216666666666669</v>
      </c>
      <c r="V68" s="2">
        <f>AVERAGE(Summary!$V$3:$V$62)</f>
        <v>41</v>
      </c>
      <c r="W68" s="2">
        <f>AVERAGE(Summary!$W$3:$W$62)</f>
        <v>46.2</v>
      </c>
      <c r="X68" s="2">
        <f>AVERAGE(Summary!$X$3:$X$62)</f>
        <v>42.18333333333333</v>
      </c>
      <c r="Y68" s="2">
        <f>AVERAGE(Summary!$Y$3:$Y$62)</f>
        <v>48.583333333333336</v>
      </c>
      <c r="Z68" s="2">
        <f>AVERAGE(Summary!$Z$3:$Z$62)</f>
        <v>50.466666666666669</v>
      </c>
      <c r="AA68" s="2">
        <f>AVERAGE(Summary!$AA$3:$AA$62)</f>
        <v>13.283333333333333</v>
      </c>
      <c r="AB68" s="2">
        <f>AVERAGE(Summary!$AB$3:$AB$62)</f>
        <v>49.866666666666667</v>
      </c>
      <c r="AC68" s="2">
        <f>AVERAGE(Summary!$AC$3:$AC$62)</f>
        <v>18.3</v>
      </c>
      <c r="AD68" s="2">
        <f>AVERAGE(Summary!$AD$3:$AD$62)</f>
        <v>47.1</v>
      </c>
      <c r="AE68" s="2">
        <f>AVERAGE(Summary!$AE$3:$AE$62)</f>
        <v>42.55</v>
      </c>
      <c r="AF68" s="2">
        <f>AVERAGE(Summary!$AF$3:$AF$62)</f>
        <v>44.416666666666664</v>
      </c>
      <c r="AG68" s="2">
        <f>AVERAGE(Summary!$AG$3:$AG$62)</f>
        <v>43.05</v>
      </c>
      <c r="AH68" s="2">
        <f>AVERAGE(Summary!$AH$3:$AH$62)</f>
        <v>48.666666666666664</v>
      </c>
      <c r="AI68" s="2">
        <f>AVERAGE(Summary!$AI$3:$AI$62)</f>
        <v>45.983333333333334</v>
      </c>
      <c r="AJ68" s="2">
        <f>AVERAGE(Summary!$AJ$3:$AJ$62)</f>
        <v>47.55</v>
      </c>
      <c r="AK68" s="2">
        <f>AVERAGE(Summary!$AK$3:$AK$62)</f>
        <v>45.56666666666667</v>
      </c>
      <c r="AL68" s="2">
        <f>AVERAGE(Summary!$AL$3:$AL$62)</f>
        <v>50.666666666666664</v>
      </c>
      <c r="AM68" s="2">
        <f>AVERAGE(Summary!$AM$3:$AM$62)</f>
        <v>44.633333333333333</v>
      </c>
      <c r="AN68" s="2">
        <f>AVERAGE(Summary!$AN$3:$AN$62)</f>
        <v>48.45</v>
      </c>
      <c r="AO68" s="2">
        <f>AVERAGE(Summary!$AO$3:$AO$62)</f>
        <v>47.4</v>
      </c>
      <c r="AP68" s="2">
        <f>AVERAGE(Summary!$AP$3:$AP$62)</f>
        <v>45.31666666666667</v>
      </c>
      <c r="AQ68" s="2">
        <f>AVERAGE(Summary!$AQ$3:$AQ$62)</f>
        <v>24.516666666666666</v>
      </c>
      <c r="AR68" s="2">
        <f>AVERAGE(Summary!$AR$3:$AR$62)</f>
        <v>48.966666666666669</v>
      </c>
      <c r="AS68" s="2">
        <f>AVERAGE(Summary!$AS$3:$AS$62)</f>
        <v>46.15</v>
      </c>
      <c r="AT68" s="2">
        <f>AVERAGE(Summary!$AT$3:$AT$62)</f>
        <v>48.6</v>
      </c>
      <c r="AU68" s="2">
        <f>AVERAGE(Summary!$AU$3:$AU$62)</f>
        <v>40.15</v>
      </c>
      <c r="AV68" s="2">
        <f>AVERAGE(Summary!$AV$3:$AV$62)</f>
        <v>44.45</v>
      </c>
      <c r="AW68" s="2">
        <f>AVERAGE(Summary!$AW$3:$AW$62)</f>
        <v>45.866666666666667</v>
      </c>
    </row>
    <row r="69" spans="11:49" x14ac:dyDescent="0.25">
      <c r="L69" s="2"/>
    </row>
    <row r="71" spans="11:49" x14ac:dyDescent="0.25">
      <c r="L71" t="s">
        <v>123</v>
      </c>
    </row>
    <row r="72" spans="11:49" x14ac:dyDescent="0.25">
      <c r="K72" t="s">
        <v>119</v>
      </c>
      <c r="L72">
        <f>COUNTIF(Summary!$L$3:$L$62,"&gt;20")</f>
        <v>60</v>
      </c>
      <c r="M72">
        <f>COUNTIF(Summary!$M$3:$M$62,"&gt;20")</f>
        <v>52</v>
      </c>
      <c r="N72">
        <f>COUNTIF(Summary!$N$3:$N$62,"&gt;20")</f>
        <v>4</v>
      </c>
      <c r="O72">
        <f>COUNTIF(Summary!$O$3:$O$62,"&gt;20")</f>
        <v>60</v>
      </c>
      <c r="P72">
        <f>COUNTIF(Summary!$P$3:$P$62,"&gt;20")</f>
        <v>52</v>
      </c>
      <c r="Q72">
        <f>COUNTIF(Summary!$Q$3:$Q$62,"&gt;20")</f>
        <v>60</v>
      </c>
      <c r="R72">
        <f>COUNTIF(Summary!$R$3:$R$62,"&gt;20")</f>
        <v>60</v>
      </c>
      <c r="S72">
        <f>COUNTIF(Summary!$S$3:$S$62,"&gt;20")</f>
        <v>40</v>
      </c>
      <c r="T72">
        <f>COUNTIF(Summary!$T$3:$T$62,"&gt;20")</f>
        <v>60</v>
      </c>
      <c r="U72">
        <f>COUNTIF(Summary!$U$3:$U$62,"&gt;20")</f>
        <v>60</v>
      </c>
      <c r="V72">
        <f>COUNTIF(Summary!$V$3:$V$62,"&gt;20")</f>
        <v>60</v>
      </c>
      <c r="W72">
        <f>COUNTIF(Summary!$W$3:$W$62,"&gt;20")</f>
        <v>60</v>
      </c>
      <c r="X72">
        <f>COUNTIF(Summary!$X$3:$X$62,"&gt;20")</f>
        <v>60</v>
      </c>
      <c r="Y72">
        <f>COUNTIF(Summary!$Y$3:$Y$62,"&gt;20")</f>
        <v>60</v>
      </c>
      <c r="Z72">
        <f>COUNTIF(Summary!$Z$3:$Z$62,"&gt;20")</f>
        <v>60</v>
      </c>
      <c r="AA72">
        <f>COUNTIF(Summary!$AA$3:$AA$62,"&gt;20")</f>
        <v>19</v>
      </c>
      <c r="AB72">
        <f>COUNTIF(Summary!$AB$3:$AB$62,"&gt;20")</f>
        <v>60</v>
      </c>
      <c r="AC72">
        <f>COUNTIF(Summary!$AC$3:$AC$62,"&gt;20")</f>
        <v>21</v>
      </c>
      <c r="AD72">
        <f>COUNTIF(Summary!$AD$3:$AD$62,"&gt;20")</f>
        <v>60</v>
      </c>
      <c r="AE72">
        <f>COUNTIF(Summary!$AE$3:$AE$62,"&gt;20")</f>
        <v>60</v>
      </c>
      <c r="AF72">
        <f>COUNTIF(Summary!$AF$3:$AF$62,"&gt;20")</f>
        <v>60</v>
      </c>
      <c r="AG72">
        <f>COUNTIF(Summary!$AG$3:$AG$62,"&gt;20")</f>
        <v>59</v>
      </c>
      <c r="AH72">
        <f>COUNTIF(Summary!$AH$3:$AH$62,"&gt;20")</f>
        <v>60</v>
      </c>
      <c r="AI72">
        <f>COUNTIF(Summary!$AI$3:$AI$62,"&gt;20")</f>
        <v>60</v>
      </c>
      <c r="AJ72">
        <f>COUNTIF(Summary!$AJ$3:$AJ$62,"&gt;20")</f>
        <v>60</v>
      </c>
      <c r="AK72">
        <f>COUNTIF(Summary!$AK$3:$AK$62,"&gt;20")</f>
        <v>60</v>
      </c>
      <c r="AL72">
        <f>COUNTIF(Summary!$AL$3:$AL$62,"&gt;20")</f>
        <v>60</v>
      </c>
      <c r="AM72">
        <f>COUNTIF(Summary!$AM$3:$AM$62,"&gt;20")</f>
        <v>60</v>
      </c>
      <c r="AN72">
        <f>COUNTIF(Summary!$AN$3:$AN$62,"&gt;20")</f>
        <v>60</v>
      </c>
      <c r="AO72">
        <f>COUNTIF(Summary!$AO$3:$AO$62,"&gt;20")</f>
        <v>60</v>
      </c>
      <c r="AP72">
        <f>COUNTIF(Summary!$AP$3:$AP$62,"&gt;20")</f>
        <v>60</v>
      </c>
      <c r="AQ72">
        <f>COUNTIF(Summary!$AQ$3:$AQ$62,"&gt;20")</f>
        <v>37</v>
      </c>
      <c r="AR72">
        <f>COUNTIF(Summary!$AR$3:$AR$62,"&gt;20")</f>
        <v>60</v>
      </c>
      <c r="AS72">
        <f>COUNTIF(Summary!$AS$3:$AS$62,"&gt;20")</f>
        <v>60</v>
      </c>
      <c r="AT72">
        <f>COUNTIF(Summary!$AT$3:$AT$62,"&gt;20")</f>
        <v>60</v>
      </c>
      <c r="AU72">
        <f>COUNTIF(Summary!$AU$3:$AU$62,"&gt;20")</f>
        <v>59</v>
      </c>
      <c r="AV72">
        <f>COUNTIF(Summary!$AV$3:$AV$62,"&gt;20")</f>
        <v>60</v>
      </c>
      <c r="AW72">
        <f>COUNTIF(Summary!$AW$3:$AW$62,"&gt;20")</f>
        <v>60</v>
      </c>
    </row>
    <row r="73" spans="11:49" x14ac:dyDescent="0.25">
      <c r="K73" t="s">
        <v>120</v>
      </c>
      <c r="L73">
        <f>AVERAGEIF(Summary!$L$3:$L$62,"&gt;20")</f>
        <v>52.416666666666664</v>
      </c>
      <c r="M73">
        <f>AVERAGEIF(Summary!$M$3:$M$62,"&gt;20")</f>
        <v>39.942307692307693</v>
      </c>
      <c r="N73">
        <f>AVERAGEIF(Summary!$N$3:$N$62,"&gt;20")</f>
        <v>29.25</v>
      </c>
      <c r="O73">
        <f>AVERAGEIF(Summary!$O$3:$O$62,"&gt;20")</f>
        <v>49.233333333333334</v>
      </c>
      <c r="P73">
        <f>AVERAGEIF(Summary!$P$3:$P$62,"&gt;20")</f>
        <v>27.557692307692307</v>
      </c>
      <c r="Q73">
        <f>AVERAGEIF(Summary!$Q$3:$Q$62,"&gt;20")</f>
        <v>41.116666666666667</v>
      </c>
      <c r="R73">
        <f>AVERAGEIF(Summary!$R$3:$R$62,"&gt;20")</f>
        <v>49.35</v>
      </c>
      <c r="S73">
        <f>AVERAGEIF(Summary!$S$3:$S$62,"&gt;20")</f>
        <v>36.700000000000003</v>
      </c>
      <c r="T73">
        <f>AVERAGEIF(Summary!$T$3:$T$62,"&gt;20")</f>
        <v>53.266666666666666</v>
      </c>
      <c r="U73">
        <f>AVERAGEIF(Summary!$U$3:$U$62,"&gt;20")</f>
        <v>44.216666666666669</v>
      </c>
      <c r="V73">
        <f>AVERAGEIF(Summary!$V$3:$V$62,"&gt;20")</f>
        <v>41</v>
      </c>
      <c r="W73">
        <f>AVERAGEIF(Summary!$W$3:$W$62,"&gt;20")</f>
        <v>46.2</v>
      </c>
      <c r="X73">
        <f>AVERAGEIF(Summary!$X$3:$X$62,"&gt;20")</f>
        <v>42.18333333333333</v>
      </c>
      <c r="Y73">
        <f>AVERAGEIF(Summary!$Y$3:$Y$62,"&gt;20")</f>
        <v>48.583333333333336</v>
      </c>
      <c r="Z73">
        <f>AVERAGEIF(Summary!$Z$3:$Z$62,"&gt;20")</f>
        <v>50.466666666666669</v>
      </c>
      <c r="AA73">
        <f>AVERAGEIF(Summary!$AA$3:$AA$62,"&gt;20")</f>
        <v>41.736842105263158</v>
      </c>
      <c r="AB73">
        <f>AVERAGEIF(Summary!$AB$3:$AB$62,"&gt;20")</f>
        <v>49.866666666666667</v>
      </c>
      <c r="AC73">
        <f>AVERAGEIF(Summary!$AC$3:$AC$62,"&gt;20")</f>
        <v>41.952380952380949</v>
      </c>
      <c r="AD73">
        <f>AVERAGEIF(Summary!$AD$3:$AD$62,"&gt;20")</f>
        <v>47.1</v>
      </c>
      <c r="AE73">
        <f>AVERAGEIF(Summary!$AE$3:$AE$62,"&gt;20")</f>
        <v>42.55</v>
      </c>
      <c r="AF73">
        <f>AVERAGEIF(Summary!$AF$3:$AF$62,"&gt;20")</f>
        <v>44.416666666666664</v>
      </c>
      <c r="AG73">
        <f>AVERAGEIF(Summary!$AG$3:$AG$62,"&gt;20")</f>
        <v>43.440677966101696</v>
      </c>
      <c r="AH73">
        <f>AVERAGEIF(Summary!$AH$3:$AH$62,"&gt;20")</f>
        <v>48.666666666666664</v>
      </c>
      <c r="AI73">
        <f>AVERAGEIF(Summary!$AI$3:$AI$62,"&gt;20")</f>
        <v>45.983333333333334</v>
      </c>
      <c r="AJ73">
        <f>AVERAGEIF(Summary!$AJ$3:$AJ$62,"&gt;20")</f>
        <v>47.55</v>
      </c>
      <c r="AK73">
        <f>AVERAGEIF(Summary!$AK$3:$AK$62,"&gt;20")</f>
        <v>45.56666666666667</v>
      </c>
      <c r="AL73">
        <f>AVERAGEIF(Summary!$AL$3:$AL$62,"&gt;20")</f>
        <v>50.666666666666664</v>
      </c>
      <c r="AM73">
        <f>AVERAGEIF(Summary!$AM$3:$AM$62,"&gt;20")</f>
        <v>44.633333333333333</v>
      </c>
      <c r="AN73">
        <f>AVERAGEIF(Summary!$AN$3:$AN$62,"&gt;20")</f>
        <v>48.45</v>
      </c>
      <c r="AO73">
        <f>AVERAGEIF(Summary!$AO$3:$AO$62,"&gt;20")</f>
        <v>47.4</v>
      </c>
      <c r="AP73">
        <f>AVERAGEIF(Summary!$AP$3:$AP$62,"&gt;20")</f>
        <v>45.31666666666667</v>
      </c>
      <c r="AQ73">
        <f>AVERAGEIF(Summary!$AQ$3:$AQ$62,"&gt;20")</f>
        <v>36.621621621621621</v>
      </c>
      <c r="AR73">
        <f>AVERAGEIF(Summary!$AR$3:$AR$62,"&gt;20")</f>
        <v>48.966666666666669</v>
      </c>
      <c r="AS73">
        <f>AVERAGEIF(Summary!$AS$3:$AS$62,"&gt;20")</f>
        <v>46.15</v>
      </c>
      <c r="AT73">
        <f>AVERAGEIF(Summary!$AT$3:$AT$62,"&gt;20")</f>
        <v>48.6</v>
      </c>
      <c r="AU73">
        <f>AVERAGEIF(Summary!$AU$3:$AU$62,"&gt;20")</f>
        <v>40.491525423728817</v>
      </c>
      <c r="AV73">
        <f>AVERAGEIF(Summary!$AV$3:$AV$62,"&gt;20")</f>
        <v>44.45</v>
      </c>
      <c r="AW73">
        <f>AVERAGEIF(Summary!$AW$3:$AW$62,"&gt;20")</f>
        <v>45.866666666666667</v>
      </c>
    </row>
    <row r="74" spans="11:49" x14ac:dyDescent="0.25">
      <c r="K74" t="s">
        <v>109</v>
      </c>
      <c r="L74">
        <f>SUM(L72:AW72)</f>
        <v>2083</v>
      </c>
      <c r="M74">
        <f>(60*38)-L74</f>
        <v>197</v>
      </c>
      <c r="N74" t="s">
        <v>122</v>
      </c>
    </row>
    <row r="75" spans="11:49" x14ac:dyDescent="0.25">
      <c r="K75" t="s">
        <v>121</v>
      </c>
      <c r="L75">
        <f>AVERAGE(L73:AW73)</f>
        <v>44.682273194800779</v>
      </c>
    </row>
  </sheetData>
  <phoneticPr fontId="6" type="noConversion"/>
  <conditionalFormatting sqref="L3:AW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5:AW6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6:AW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7:AW6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8:AW6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2:AW7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3:AW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7:AW7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8:AW7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:AX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EE84-8B60-4F33-A13B-B570AC4454AD}">
  <dimension ref="A1:CD67"/>
  <sheetViews>
    <sheetView tabSelected="1" topLeftCell="W34" zoomScaleNormal="100" workbookViewId="0">
      <selection activeCell="AQ68" sqref="AQ68"/>
    </sheetView>
  </sheetViews>
  <sheetFormatPr baseColWidth="10" defaultRowHeight="15" x14ac:dyDescent="0.25"/>
  <cols>
    <col min="1" max="1" width="9.28515625" customWidth="1"/>
    <col min="2" max="2" width="5.42578125" customWidth="1"/>
    <col min="3" max="39" width="4.140625" customWidth="1"/>
    <col min="40" max="41" width="11.42578125" customWidth="1"/>
    <col min="42" max="42" width="19.5703125" customWidth="1"/>
    <col min="43" max="43" width="16.28515625" customWidth="1"/>
    <col min="45" max="45" width="3.28515625" bestFit="1" customWidth="1"/>
    <col min="46" max="55" width="4.28515625" bestFit="1" customWidth="1"/>
    <col min="56" max="56" width="3.28515625" bestFit="1" customWidth="1"/>
    <col min="57" max="66" width="4.28515625" bestFit="1" customWidth="1"/>
    <col min="67" max="67" width="3.28515625" bestFit="1" customWidth="1"/>
    <col min="68" max="76" width="4.28515625" bestFit="1" customWidth="1"/>
    <col min="77" max="82" width="3.28515625" bestFit="1" customWidth="1"/>
  </cols>
  <sheetData>
    <row r="1" spans="1:82" x14ac:dyDescent="0.25">
      <c r="A1" t="s">
        <v>114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O1" t="s">
        <v>114</v>
      </c>
      <c r="AP1" t="s">
        <v>132</v>
      </c>
      <c r="AQ1" t="s">
        <v>133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75</v>
      </c>
      <c r="BF1" t="s">
        <v>76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96</v>
      </c>
      <c r="CA1" t="s">
        <v>97</v>
      </c>
      <c r="CB1" t="s">
        <v>98</v>
      </c>
      <c r="CC1" t="s">
        <v>99</v>
      </c>
      <c r="CD1" t="s">
        <v>100</v>
      </c>
    </row>
    <row r="2" spans="1:82" x14ac:dyDescent="0.25">
      <c r="A2">
        <v>1</v>
      </c>
      <c r="B2">
        <f>IF(Summary!L3&gt;20,1,0)</f>
        <v>1</v>
      </c>
      <c r="C2">
        <f>IF(Summary!M3&gt;20,1,0)</f>
        <v>1</v>
      </c>
      <c r="D2">
        <f>IF(Summary!N3&gt;20,1,0)</f>
        <v>0</v>
      </c>
      <c r="E2">
        <f>IF(Summary!O3&gt;20,1,0)</f>
        <v>1</v>
      </c>
      <c r="F2">
        <f>IF(Summary!P3&gt;20,1,0)</f>
        <v>1</v>
      </c>
      <c r="G2">
        <f>IF(Summary!Q3&gt;20,1,0)</f>
        <v>1</v>
      </c>
      <c r="H2">
        <f>IF(Summary!R3&gt;20,1,0)</f>
        <v>1</v>
      </c>
      <c r="I2">
        <f>IF(Summary!S3&gt;20,1,0)</f>
        <v>1</v>
      </c>
      <c r="J2">
        <f>IF(Summary!T3&gt;20,1,0)</f>
        <v>1</v>
      </c>
      <c r="K2">
        <f>IF(Summary!U3&gt;20,1,0)</f>
        <v>1</v>
      </c>
      <c r="L2">
        <f>IF(Summary!V3&gt;20,1,0)</f>
        <v>1</v>
      </c>
      <c r="M2">
        <f>IF(Summary!W3&gt;20,1,0)</f>
        <v>1</v>
      </c>
      <c r="N2">
        <f>IF(Summary!X3&gt;20,1,0)</f>
        <v>1</v>
      </c>
      <c r="O2">
        <f>IF(Summary!Y3&gt;20,1,0)</f>
        <v>1</v>
      </c>
      <c r="P2">
        <f>IF(Summary!Z3&gt;20,1,0)</f>
        <v>1</v>
      </c>
      <c r="Q2">
        <f>IF(Summary!AA3&gt;20,1,0)</f>
        <v>1</v>
      </c>
      <c r="R2">
        <f>IF(Summary!AB3&gt;20,1,0)</f>
        <v>1</v>
      </c>
      <c r="S2">
        <f>IF(Summary!AC3&gt;20,1,0)</f>
        <v>1</v>
      </c>
      <c r="T2">
        <f>IF(Summary!AD3&gt;20,1,0)</f>
        <v>1</v>
      </c>
      <c r="U2">
        <f>IF(Summary!AE3&gt;20,1,0)</f>
        <v>1</v>
      </c>
      <c r="V2">
        <f>IF(Summary!AF3&gt;20,1,0)</f>
        <v>1</v>
      </c>
      <c r="W2">
        <f>IF(Summary!AG3&gt;20,1,0)</f>
        <v>1</v>
      </c>
      <c r="X2">
        <f>IF(Summary!AH3&gt;20,1,0)</f>
        <v>1</v>
      </c>
      <c r="Y2">
        <f>IF(Summary!AI3&gt;20,1,0)</f>
        <v>1</v>
      </c>
      <c r="Z2">
        <f>IF(Summary!AJ3&gt;20,1,0)</f>
        <v>1</v>
      </c>
      <c r="AA2">
        <f>IF(Summary!AK3&gt;20,1,0)</f>
        <v>1</v>
      </c>
      <c r="AB2">
        <f>IF(Summary!AL3&gt;20,1,0)</f>
        <v>1</v>
      </c>
      <c r="AC2">
        <f>IF(Summary!AM3&gt;20,1,0)</f>
        <v>1</v>
      </c>
      <c r="AD2">
        <f>IF(Summary!AN3&gt;20,1,0)</f>
        <v>1</v>
      </c>
      <c r="AE2">
        <f>IF(Summary!AO3&gt;20,1,0)</f>
        <v>1</v>
      </c>
      <c r="AF2">
        <f>IF(Summary!AP3&gt;20,1,0)</f>
        <v>1</v>
      </c>
      <c r="AG2">
        <f>IF(Summary!AQ3&gt;20,1,0)</f>
        <v>1</v>
      </c>
      <c r="AH2">
        <f>IF(Summary!AR3&gt;20,1,0)</f>
        <v>1</v>
      </c>
      <c r="AI2">
        <f>IF(Summary!AS3&gt;20,1,0)</f>
        <v>1</v>
      </c>
      <c r="AJ2">
        <f>IF(Summary!AT3&gt;20,1,0)</f>
        <v>1</v>
      </c>
      <c r="AK2">
        <f>IF(Summary!AU3&gt;20,1,0)</f>
        <v>1</v>
      </c>
      <c r="AL2">
        <f>IF(Summary!AV3&gt;20,1,0)</f>
        <v>1</v>
      </c>
      <c r="AM2">
        <f>IF(Summary!AW3&gt;20,1,0)</f>
        <v>1</v>
      </c>
      <c r="AO2">
        <v>1</v>
      </c>
      <c r="AP2">
        <f t="shared" ref="AP2:AP33" si="0">SUM(B2:AM2)</f>
        <v>37</v>
      </c>
      <c r="AQ2">
        <f t="shared" ref="AQ2:AQ33" si="1">SUM(AS2:CD2)</f>
        <v>1645</v>
      </c>
      <c r="AS2">
        <f>B2*Summary!L3</f>
        <v>51</v>
      </c>
      <c r="AT2">
        <f>C2*Summary!M3</f>
        <v>43</v>
      </c>
      <c r="AU2">
        <f>D2*Summary!N3</f>
        <v>0</v>
      </c>
      <c r="AV2">
        <f>E2*Summary!O3</f>
        <v>47</v>
      </c>
      <c r="AW2">
        <f>F2*Summary!P3</f>
        <v>28</v>
      </c>
      <c r="AX2">
        <f>G2*Summary!Q3</f>
        <v>42</v>
      </c>
      <c r="AY2">
        <f>H2*Summary!R3</f>
        <v>53</v>
      </c>
      <c r="AZ2">
        <f>I2*Summary!S3</f>
        <v>48</v>
      </c>
      <c r="BA2">
        <f>J2*Summary!T3</f>
        <v>52</v>
      </c>
      <c r="BB2">
        <f>K2*Summary!U3</f>
        <v>37</v>
      </c>
      <c r="BC2">
        <f>L2*Summary!V3</f>
        <v>44</v>
      </c>
      <c r="BD2">
        <f>M2*Summary!W3</f>
        <v>47</v>
      </c>
      <c r="BE2">
        <f>N2*Summary!X3</f>
        <v>44</v>
      </c>
      <c r="BF2">
        <f>O2*Summary!Y3</f>
        <v>51</v>
      </c>
      <c r="BG2">
        <f>P2*Summary!Z3</f>
        <v>47</v>
      </c>
      <c r="BH2">
        <f>Q2*Summary!AA3</f>
        <v>39</v>
      </c>
      <c r="BI2">
        <f>R2*Summary!AB3</f>
        <v>55</v>
      </c>
      <c r="BJ2">
        <f>S2*Summary!AC3</f>
        <v>29</v>
      </c>
      <c r="BK2">
        <f>T2*Summary!AD3</f>
        <v>47</v>
      </c>
      <c r="BL2">
        <f>U2*Summary!AE3</f>
        <v>42</v>
      </c>
      <c r="BM2">
        <f>V2*Summary!AF3</f>
        <v>43</v>
      </c>
      <c r="BN2">
        <f>W2*Summary!AG3</f>
        <v>43</v>
      </c>
      <c r="BO2">
        <f>X2*Summary!AH3</f>
        <v>48</v>
      </c>
      <c r="BP2">
        <f>Y2*Summary!AI3</f>
        <v>43</v>
      </c>
      <c r="BQ2">
        <f>Z2*Summary!AJ3</f>
        <v>44</v>
      </c>
      <c r="BR2">
        <f>AA2*Summary!AK3</f>
        <v>42</v>
      </c>
      <c r="BS2">
        <f>AB2*Summary!AL3</f>
        <v>50</v>
      </c>
      <c r="BT2">
        <f>AC2*Summary!AM3</f>
        <v>45</v>
      </c>
      <c r="BU2">
        <f>AD2*Summary!AN3</f>
        <v>48</v>
      </c>
      <c r="BV2">
        <f>AE2*Summary!AO3</f>
        <v>32</v>
      </c>
      <c r="BW2">
        <f>AF2*Summary!AP3</f>
        <v>45</v>
      </c>
      <c r="BX2">
        <f>AG2*Summary!AQ3</f>
        <v>46</v>
      </c>
      <c r="BY2">
        <f>AH2*Summary!AR3</f>
        <v>43</v>
      </c>
      <c r="BZ2">
        <f>AI2*Summary!AS3</f>
        <v>49</v>
      </c>
      <c r="CA2">
        <f>AJ2*Summary!AT3</f>
        <v>49</v>
      </c>
      <c r="CB2">
        <f>AK2*Summary!AU3</f>
        <v>42</v>
      </c>
      <c r="CC2">
        <f>AL2*Summary!AV3</f>
        <v>45</v>
      </c>
      <c r="CD2">
        <f>AM2*Summary!AW3</f>
        <v>42</v>
      </c>
    </row>
    <row r="3" spans="1:82" x14ac:dyDescent="0.25">
      <c r="A3">
        <v>2</v>
      </c>
      <c r="B3">
        <f>IF(Summary!L4&gt;20,1,0)</f>
        <v>1</v>
      </c>
      <c r="C3">
        <f>IF(Summary!M4&gt;20,1,0)</f>
        <v>1</v>
      </c>
      <c r="D3">
        <f>IF(Summary!N4&gt;20,1,0)</f>
        <v>0</v>
      </c>
      <c r="E3">
        <f>IF(Summary!O4&gt;20,1,0)</f>
        <v>1</v>
      </c>
      <c r="F3">
        <f>IF(Summary!P4&gt;20,1,0)</f>
        <v>1</v>
      </c>
      <c r="G3">
        <f>IF(Summary!Q4&gt;20,1,0)</f>
        <v>1</v>
      </c>
      <c r="H3">
        <f>IF(Summary!R4&gt;20,1,0)</f>
        <v>1</v>
      </c>
      <c r="I3">
        <f>IF(Summary!S4&gt;20,1,0)</f>
        <v>1</v>
      </c>
      <c r="J3">
        <f>IF(Summary!T4&gt;20,1,0)</f>
        <v>1</v>
      </c>
      <c r="K3">
        <f>IF(Summary!U4&gt;20,1,0)</f>
        <v>1</v>
      </c>
      <c r="L3">
        <f>IF(Summary!V4&gt;20,1,0)</f>
        <v>1</v>
      </c>
      <c r="M3">
        <f>IF(Summary!W4&gt;20,1,0)</f>
        <v>1</v>
      </c>
      <c r="N3">
        <f>IF(Summary!X4&gt;20,1,0)</f>
        <v>1</v>
      </c>
      <c r="O3">
        <f>IF(Summary!Y4&gt;20,1,0)</f>
        <v>1</v>
      </c>
      <c r="P3">
        <f>IF(Summary!Z4&gt;20,1,0)</f>
        <v>1</v>
      </c>
      <c r="Q3">
        <f>IF(Summary!AA4&gt;20,1,0)</f>
        <v>1</v>
      </c>
      <c r="R3">
        <f>IF(Summary!AB4&gt;20,1,0)</f>
        <v>1</v>
      </c>
      <c r="S3">
        <f>IF(Summary!AC4&gt;20,1,0)</f>
        <v>1</v>
      </c>
      <c r="T3">
        <f>IF(Summary!AD4&gt;20,1,0)</f>
        <v>1</v>
      </c>
      <c r="U3">
        <f>IF(Summary!AE4&gt;20,1,0)</f>
        <v>1</v>
      </c>
      <c r="V3">
        <f>IF(Summary!AF4&gt;20,1,0)</f>
        <v>1</v>
      </c>
      <c r="W3">
        <f>IF(Summary!AG4&gt;20,1,0)</f>
        <v>1</v>
      </c>
      <c r="X3">
        <f>IF(Summary!AH4&gt;20,1,0)</f>
        <v>1</v>
      </c>
      <c r="Y3">
        <f>IF(Summary!AI4&gt;20,1,0)</f>
        <v>1</v>
      </c>
      <c r="Z3">
        <f>IF(Summary!AJ4&gt;20,1,0)</f>
        <v>1</v>
      </c>
      <c r="AA3">
        <f>IF(Summary!AK4&gt;20,1,0)</f>
        <v>1</v>
      </c>
      <c r="AB3">
        <f>IF(Summary!AL4&gt;20,1,0)</f>
        <v>1</v>
      </c>
      <c r="AC3">
        <f>IF(Summary!AM4&gt;20,1,0)</f>
        <v>1</v>
      </c>
      <c r="AD3">
        <f>IF(Summary!AN4&gt;20,1,0)</f>
        <v>1</v>
      </c>
      <c r="AE3">
        <f>IF(Summary!AO4&gt;20,1,0)</f>
        <v>1</v>
      </c>
      <c r="AF3">
        <f>IF(Summary!AP4&gt;20,1,0)</f>
        <v>1</v>
      </c>
      <c r="AG3">
        <f>IF(Summary!AQ4&gt;20,1,0)</f>
        <v>1</v>
      </c>
      <c r="AH3">
        <f>IF(Summary!AR4&gt;20,1,0)</f>
        <v>1</v>
      </c>
      <c r="AI3">
        <f>IF(Summary!AS4&gt;20,1,0)</f>
        <v>1</v>
      </c>
      <c r="AJ3">
        <f>IF(Summary!AT4&gt;20,1,0)</f>
        <v>1</v>
      </c>
      <c r="AK3">
        <f>IF(Summary!AU4&gt;20,1,0)</f>
        <v>1</v>
      </c>
      <c r="AL3">
        <f>IF(Summary!AV4&gt;20,1,0)</f>
        <v>1</v>
      </c>
      <c r="AM3">
        <f>IF(Summary!AW4&gt;20,1,0)</f>
        <v>1</v>
      </c>
      <c r="AO3">
        <v>2</v>
      </c>
      <c r="AP3">
        <f t="shared" si="0"/>
        <v>37</v>
      </c>
      <c r="AQ3">
        <f t="shared" si="1"/>
        <v>1635</v>
      </c>
      <c r="AS3">
        <f>B3*Summary!L4</f>
        <v>58</v>
      </c>
      <c r="AT3">
        <f>C3*Summary!M4</f>
        <v>46</v>
      </c>
      <c r="AU3">
        <f>D3*Summary!N4</f>
        <v>0</v>
      </c>
      <c r="AV3">
        <f>E3*Summary!O4</f>
        <v>50</v>
      </c>
      <c r="AW3">
        <f>F3*Summary!P4</f>
        <v>21</v>
      </c>
      <c r="AX3">
        <f>G3*Summary!Q4</f>
        <v>38</v>
      </c>
      <c r="AY3">
        <f>H3*Summary!R4</f>
        <v>50</v>
      </c>
      <c r="AZ3">
        <f>I3*Summary!S4</f>
        <v>38</v>
      </c>
      <c r="BA3">
        <f>J3*Summary!T4</f>
        <v>54</v>
      </c>
      <c r="BB3">
        <f>K3*Summary!U4</f>
        <v>43</v>
      </c>
      <c r="BC3">
        <f>L3*Summary!V4</f>
        <v>44</v>
      </c>
      <c r="BD3">
        <f>M3*Summary!W4</f>
        <v>48</v>
      </c>
      <c r="BE3">
        <f>N3*Summary!X4</f>
        <v>42</v>
      </c>
      <c r="BF3">
        <f>O3*Summary!Y4</f>
        <v>51</v>
      </c>
      <c r="BG3">
        <f>P3*Summary!Z4</f>
        <v>49</v>
      </c>
      <c r="BH3">
        <f>Q3*Summary!AA4</f>
        <v>45</v>
      </c>
      <c r="BI3">
        <f>R3*Summary!AB4</f>
        <v>49</v>
      </c>
      <c r="BJ3">
        <f>S3*Summary!AC4</f>
        <v>45</v>
      </c>
      <c r="BK3">
        <f>T3*Summary!AD4</f>
        <v>46</v>
      </c>
      <c r="BL3">
        <f>U3*Summary!AE4</f>
        <v>40</v>
      </c>
      <c r="BM3">
        <f>V3*Summary!AF4</f>
        <v>39</v>
      </c>
      <c r="BN3">
        <f>W3*Summary!AG4</f>
        <v>46</v>
      </c>
      <c r="BO3">
        <f>X3*Summary!AH4</f>
        <v>56</v>
      </c>
      <c r="BP3">
        <f>Y3*Summary!AI4</f>
        <v>40</v>
      </c>
      <c r="BQ3">
        <f>Z3*Summary!AJ4</f>
        <v>38</v>
      </c>
      <c r="BR3">
        <f>AA3*Summary!AK4</f>
        <v>49</v>
      </c>
      <c r="BS3">
        <f>AB3*Summary!AL4</f>
        <v>50</v>
      </c>
      <c r="BT3">
        <f>AC3*Summary!AM4</f>
        <v>46</v>
      </c>
      <c r="BU3">
        <f>AD3*Summary!AN4</f>
        <v>46</v>
      </c>
      <c r="BV3">
        <f>AE3*Summary!AO4</f>
        <v>44</v>
      </c>
      <c r="BW3">
        <f>AF3*Summary!AP4</f>
        <v>49</v>
      </c>
      <c r="BX3">
        <f>AG3*Summary!AQ4</f>
        <v>27</v>
      </c>
      <c r="BY3">
        <f>AH3*Summary!AR4</f>
        <v>55</v>
      </c>
      <c r="BZ3">
        <f>AI3*Summary!AS4</f>
        <v>40</v>
      </c>
      <c r="CA3">
        <f>AJ3*Summary!AT4</f>
        <v>48</v>
      </c>
      <c r="CB3">
        <f>AK3*Summary!AU4</f>
        <v>23</v>
      </c>
      <c r="CC3">
        <f>AL3*Summary!AV4</f>
        <v>46</v>
      </c>
      <c r="CD3">
        <f>AM3*Summary!AW4</f>
        <v>36</v>
      </c>
    </row>
    <row r="4" spans="1:82" x14ac:dyDescent="0.25">
      <c r="A4">
        <v>3</v>
      </c>
      <c r="B4">
        <f>IF(Summary!L5&gt;20,1,0)</f>
        <v>1</v>
      </c>
      <c r="C4">
        <f>IF(Summary!M5&gt;20,1,0)</f>
        <v>1</v>
      </c>
      <c r="D4">
        <f>IF(Summary!N5&gt;20,1,0)</f>
        <v>0</v>
      </c>
      <c r="E4">
        <f>IF(Summary!O5&gt;20,1,0)</f>
        <v>1</v>
      </c>
      <c r="F4">
        <f>IF(Summary!P5&gt;20,1,0)</f>
        <v>1</v>
      </c>
      <c r="G4">
        <f>IF(Summary!Q5&gt;20,1,0)</f>
        <v>1</v>
      </c>
      <c r="H4">
        <f>IF(Summary!R5&gt;20,1,0)</f>
        <v>1</v>
      </c>
      <c r="I4">
        <f>IF(Summary!S5&gt;20,1,0)</f>
        <v>1</v>
      </c>
      <c r="J4">
        <f>IF(Summary!T5&gt;20,1,0)</f>
        <v>1</v>
      </c>
      <c r="K4">
        <f>IF(Summary!U5&gt;20,1,0)</f>
        <v>1</v>
      </c>
      <c r="L4">
        <f>IF(Summary!V5&gt;20,1,0)</f>
        <v>1</v>
      </c>
      <c r="M4">
        <f>IF(Summary!W5&gt;20,1,0)</f>
        <v>1</v>
      </c>
      <c r="N4">
        <f>IF(Summary!X5&gt;20,1,0)</f>
        <v>1</v>
      </c>
      <c r="O4">
        <f>IF(Summary!Y5&gt;20,1,0)</f>
        <v>1</v>
      </c>
      <c r="P4">
        <f>IF(Summary!Z5&gt;20,1,0)</f>
        <v>1</v>
      </c>
      <c r="Q4">
        <f>IF(Summary!AA5&gt;20,1,0)</f>
        <v>1</v>
      </c>
      <c r="R4">
        <f>IF(Summary!AB5&gt;20,1,0)</f>
        <v>1</v>
      </c>
      <c r="S4">
        <f>IF(Summary!AC5&gt;20,1,0)</f>
        <v>1</v>
      </c>
      <c r="T4">
        <f>IF(Summary!AD5&gt;20,1,0)</f>
        <v>1</v>
      </c>
      <c r="U4">
        <f>IF(Summary!AE5&gt;20,1,0)</f>
        <v>1</v>
      </c>
      <c r="V4">
        <f>IF(Summary!AF5&gt;20,1,0)</f>
        <v>1</v>
      </c>
      <c r="W4">
        <f>IF(Summary!AG5&gt;20,1,0)</f>
        <v>1</v>
      </c>
      <c r="X4">
        <f>IF(Summary!AH5&gt;20,1,0)</f>
        <v>1</v>
      </c>
      <c r="Y4">
        <f>IF(Summary!AI5&gt;20,1,0)</f>
        <v>1</v>
      </c>
      <c r="Z4">
        <f>IF(Summary!AJ5&gt;20,1,0)</f>
        <v>1</v>
      </c>
      <c r="AA4">
        <f>IF(Summary!AK5&gt;20,1,0)</f>
        <v>1</v>
      </c>
      <c r="AB4">
        <f>IF(Summary!AL5&gt;20,1,0)</f>
        <v>1</v>
      </c>
      <c r="AC4">
        <f>IF(Summary!AM5&gt;20,1,0)</f>
        <v>1</v>
      </c>
      <c r="AD4">
        <f>IF(Summary!AN5&gt;20,1,0)</f>
        <v>1</v>
      </c>
      <c r="AE4">
        <f>IF(Summary!AO5&gt;20,1,0)</f>
        <v>1</v>
      </c>
      <c r="AF4">
        <f>IF(Summary!AP5&gt;20,1,0)</f>
        <v>1</v>
      </c>
      <c r="AG4">
        <f>IF(Summary!AQ5&gt;20,1,0)</f>
        <v>1</v>
      </c>
      <c r="AH4">
        <f>IF(Summary!AR5&gt;20,1,0)</f>
        <v>1</v>
      </c>
      <c r="AI4">
        <f>IF(Summary!AS5&gt;20,1,0)</f>
        <v>1</v>
      </c>
      <c r="AJ4">
        <f>IF(Summary!AT5&gt;20,1,0)</f>
        <v>1</v>
      </c>
      <c r="AK4">
        <f>IF(Summary!AU5&gt;20,1,0)</f>
        <v>1</v>
      </c>
      <c r="AL4">
        <f>IF(Summary!AV5&gt;20,1,0)</f>
        <v>1</v>
      </c>
      <c r="AM4">
        <f>IF(Summary!AW5&gt;20,1,0)</f>
        <v>1</v>
      </c>
      <c r="AO4">
        <v>3</v>
      </c>
      <c r="AP4">
        <f t="shared" si="0"/>
        <v>37</v>
      </c>
      <c r="AQ4">
        <f t="shared" si="1"/>
        <v>1634</v>
      </c>
      <c r="AS4">
        <f>B4*Summary!L5</f>
        <v>56</v>
      </c>
      <c r="AT4">
        <f>C4*Summary!M5</f>
        <v>43</v>
      </c>
      <c r="AU4">
        <f>D4*Summary!N5</f>
        <v>0</v>
      </c>
      <c r="AV4">
        <f>E4*Summary!O5</f>
        <v>49</v>
      </c>
      <c r="AW4">
        <f>F4*Summary!P5</f>
        <v>21</v>
      </c>
      <c r="AX4">
        <f>G4*Summary!Q5</f>
        <v>40</v>
      </c>
      <c r="AY4">
        <f>H4*Summary!R5</f>
        <v>52</v>
      </c>
      <c r="AZ4">
        <f>I4*Summary!S5</f>
        <v>27</v>
      </c>
      <c r="BA4">
        <f>J4*Summary!T5</f>
        <v>56</v>
      </c>
      <c r="BB4">
        <f>K4*Summary!U5</f>
        <v>40</v>
      </c>
      <c r="BC4">
        <f>L4*Summary!V5</f>
        <v>39</v>
      </c>
      <c r="BD4">
        <f>M4*Summary!W5</f>
        <v>47</v>
      </c>
      <c r="BE4">
        <f>N4*Summary!X5</f>
        <v>44</v>
      </c>
      <c r="BF4">
        <f>O4*Summary!Y5</f>
        <v>50</v>
      </c>
      <c r="BG4">
        <f>P4*Summary!Z5</f>
        <v>47</v>
      </c>
      <c r="BH4">
        <f>Q4*Summary!AA5</f>
        <v>49</v>
      </c>
      <c r="BI4">
        <f>R4*Summary!AB5</f>
        <v>50</v>
      </c>
      <c r="BJ4">
        <f>S4*Summary!AC5</f>
        <v>43</v>
      </c>
      <c r="BK4">
        <f>T4*Summary!AD5</f>
        <v>45</v>
      </c>
      <c r="BL4">
        <f>U4*Summary!AE5</f>
        <v>39</v>
      </c>
      <c r="BM4">
        <f>V4*Summary!AF5</f>
        <v>45</v>
      </c>
      <c r="BN4">
        <f>W4*Summary!AG5</f>
        <v>30</v>
      </c>
      <c r="BO4">
        <f>X4*Summary!AH5</f>
        <v>48</v>
      </c>
      <c r="BP4">
        <f>Y4*Summary!AI5</f>
        <v>45</v>
      </c>
      <c r="BQ4">
        <f>Z4*Summary!AJ5</f>
        <v>53</v>
      </c>
      <c r="BR4">
        <f>AA4*Summary!AK5</f>
        <v>43</v>
      </c>
      <c r="BS4">
        <f>AB4*Summary!AL5</f>
        <v>53</v>
      </c>
      <c r="BT4">
        <f>AC4*Summary!AM5</f>
        <v>42</v>
      </c>
      <c r="BU4">
        <f>AD4*Summary!AN5</f>
        <v>52</v>
      </c>
      <c r="BV4">
        <f>AE4*Summary!AO5</f>
        <v>48</v>
      </c>
      <c r="BW4">
        <f>AF4*Summary!AP5</f>
        <v>39</v>
      </c>
      <c r="BX4">
        <f>AG4*Summary!AQ5</f>
        <v>28</v>
      </c>
      <c r="BY4">
        <f>AH4*Summary!AR5</f>
        <v>49</v>
      </c>
      <c r="BZ4">
        <f>AI4*Summary!AS5</f>
        <v>42</v>
      </c>
      <c r="CA4">
        <f>AJ4*Summary!AT5</f>
        <v>47</v>
      </c>
      <c r="CB4">
        <f>AK4*Summary!AU5</f>
        <v>40</v>
      </c>
      <c r="CC4">
        <f>AL4*Summary!AV5</f>
        <v>52</v>
      </c>
      <c r="CD4">
        <f>AM4*Summary!AW5</f>
        <v>41</v>
      </c>
    </row>
    <row r="5" spans="1:82" x14ac:dyDescent="0.25">
      <c r="A5">
        <v>4</v>
      </c>
      <c r="B5">
        <f>IF(Summary!L6&gt;20,1,0)</f>
        <v>1</v>
      </c>
      <c r="C5">
        <f>IF(Summary!M6&gt;20,1,0)</f>
        <v>1</v>
      </c>
      <c r="D5">
        <f>IF(Summary!N6&gt;20,1,0)</f>
        <v>0</v>
      </c>
      <c r="E5">
        <f>IF(Summary!O6&gt;20,1,0)</f>
        <v>1</v>
      </c>
      <c r="F5">
        <f>IF(Summary!P6&gt;20,1,0)</f>
        <v>0</v>
      </c>
      <c r="G5">
        <f>IF(Summary!Q6&gt;20,1,0)</f>
        <v>1</v>
      </c>
      <c r="H5">
        <f>IF(Summary!R6&gt;20,1,0)</f>
        <v>1</v>
      </c>
      <c r="I5">
        <f>IF(Summary!S6&gt;20,1,0)</f>
        <v>1</v>
      </c>
      <c r="J5">
        <f>IF(Summary!T6&gt;20,1,0)</f>
        <v>1</v>
      </c>
      <c r="K5">
        <f>IF(Summary!U6&gt;20,1,0)</f>
        <v>1</v>
      </c>
      <c r="L5">
        <f>IF(Summary!V6&gt;20,1,0)</f>
        <v>1</v>
      </c>
      <c r="M5">
        <f>IF(Summary!W6&gt;20,1,0)</f>
        <v>1</v>
      </c>
      <c r="N5">
        <f>IF(Summary!X6&gt;20,1,0)</f>
        <v>1</v>
      </c>
      <c r="O5">
        <f>IF(Summary!Y6&gt;20,1,0)</f>
        <v>1</v>
      </c>
      <c r="P5">
        <f>IF(Summary!Z6&gt;20,1,0)</f>
        <v>1</v>
      </c>
      <c r="Q5">
        <f>IF(Summary!AA6&gt;20,1,0)</f>
        <v>1</v>
      </c>
      <c r="R5">
        <f>IF(Summary!AB6&gt;20,1,0)</f>
        <v>1</v>
      </c>
      <c r="S5">
        <f>IF(Summary!AC6&gt;20,1,0)</f>
        <v>1</v>
      </c>
      <c r="T5">
        <f>IF(Summary!AD6&gt;20,1,0)</f>
        <v>1</v>
      </c>
      <c r="U5">
        <f>IF(Summary!AE6&gt;20,1,0)</f>
        <v>1</v>
      </c>
      <c r="V5">
        <f>IF(Summary!AF6&gt;20,1,0)</f>
        <v>1</v>
      </c>
      <c r="W5">
        <f>IF(Summary!AG6&gt;20,1,0)</f>
        <v>1</v>
      </c>
      <c r="X5">
        <f>IF(Summary!AH6&gt;20,1,0)</f>
        <v>1</v>
      </c>
      <c r="Y5">
        <f>IF(Summary!AI6&gt;20,1,0)</f>
        <v>1</v>
      </c>
      <c r="Z5">
        <f>IF(Summary!AJ6&gt;20,1,0)</f>
        <v>1</v>
      </c>
      <c r="AA5">
        <f>IF(Summary!AK6&gt;20,1,0)</f>
        <v>1</v>
      </c>
      <c r="AB5">
        <f>IF(Summary!AL6&gt;20,1,0)</f>
        <v>1</v>
      </c>
      <c r="AC5">
        <f>IF(Summary!AM6&gt;20,1,0)</f>
        <v>1</v>
      </c>
      <c r="AD5">
        <f>IF(Summary!AN6&gt;20,1,0)</f>
        <v>1</v>
      </c>
      <c r="AE5">
        <f>IF(Summary!AO6&gt;20,1,0)</f>
        <v>1</v>
      </c>
      <c r="AF5">
        <f>IF(Summary!AP6&gt;20,1,0)</f>
        <v>1</v>
      </c>
      <c r="AG5">
        <f>IF(Summary!AQ6&gt;20,1,0)</f>
        <v>0</v>
      </c>
      <c r="AH5">
        <f>IF(Summary!AR6&gt;20,1,0)</f>
        <v>1</v>
      </c>
      <c r="AI5">
        <f>IF(Summary!AS6&gt;20,1,0)</f>
        <v>1</v>
      </c>
      <c r="AJ5">
        <f>IF(Summary!AT6&gt;20,1,0)</f>
        <v>1</v>
      </c>
      <c r="AK5">
        <f>IF(Summary!AU6&gt;20,1,0)</f>
        <v>1</v>
      </c>
      <c r="AL5">
        <f>IF(Summary!AV6&gt;20,1,0)</f>
        <v>1</v>
      </c>
      <c r="AM5">
        <f>IF(Summary!AW6&gt;20,1,0)</f>
        <v>1</v>
      </c>
      <c r="AO5">
        <v>4</v>
      </c>
      <c r="AP5">
        <f t="shared" si="0"/>
        <v>35</v>
      </c>
      <c r="AQ5">
        <f t="shared" si="1"/>
        <v>1587</v>
      </c>
      <c r="AS5">
        <f>B5*Summary!L6</f>
        <v>51</v>
      </c>
      <c r="AT5">
        <f>C5*Summary!M6</f>
        <v>43</v>
      </c>
      <c r="AU5">
        <f>D5*Summary!N6</f>
        <v>0</v>
      </c>
      <c r="AV5">
        <f>E5*Summary!O6</f>
        <v>49</v>
      </c>
      <c r="AW5">
        <f>F5*Summary!P6</f>
        <v>0</v>
      </c>
      <c r="AX5">
        <f>G5*Summary!Q6</f>
        <v>39</v>
      </c>
      <c r="AY5">
        <f>H5*Summary!R6</f>
        <v>47</v>
      </c>
      <c r="AZ5">
        <f>I5*Summary!S6</f>
        <v>36</v>
      </c>
      <c r="BA5">
        <f>J5*Summary!T6</f>
        <v>53</v>
      </c>
      <c r="BB5">
        <f>K5*Summary!U6</f>
        <v>42</v>
      </c>
      <c r="BC5">
        <f>L5*Summary!V6</f>
        <v>29</v>
      </c>
      <c r="BD5">
        <f>M5*Summary!W6</f>
        <v>46</v>
      </c>
      <c r="BE5">
        <f>N5*Summary!X6</f>
        <v>45</v>
      </c>
      <c r="BF5">
        <f>O5*Summary!Y6</f>
        <v>47</v>
      </c>
      <c r="BG5">
        <f>P5*Summary!Z6</f>
        <v>47</v>
      </c>
      <c r="BH5">
        <f>Q5*Summary!AA6</f>
        <v>43</v>
      </c>
      <c r="BI5">
        <f>R5*Summary!AB6</f>
        <v>52</v>
      </c>
      <c r="BJ5">
        <f>S5*Summary!AC6</f>
        <v>43</v>
      </c>
      <c r="BK5">
        <f>T5*Summary!AD6</f>
        <v>45</v>
      </c>
      <c r="BL5">
        <f>U5*Summary!AE6</f>
        <v>40</v>
      </c>
      <c r="BM5">
        <f>V5*Summary!AF6</f>
        <v>47</v>
      </c>
      <c r="BN5">
        <f>W5*Summary!AG6</f>
        <v>48</v>
      </c>
      <c r="BO5">
        <f>X5*Summary!AH6</f>
        <v>50</v>
      </c>
      <c r="BP5">
        <f>Y5*Summary!AI6</f>
        <v>39</v>
      </c>
      <c r="BQ5">
        <f>Z5*Summary!AJ6</f>
        <v>47</v>
      </c>
      <c r="BR5">
        <f>AA5*Summary!AK6</f>
        <v>45</v>
      </c>
      <c r="BS5">
        <f>AB5*Summary!AL6</f>
        <v>57</v>
      </c>
      <c r="BT5">
        <f>AC5*Summary!AM6</f>
        <v>42</v>
      </c>
      <c r="BU5">
        <f>AD5*Summary!AN6</f>
        <v>48</v>
      </c>
      <c r="BV5">
        <f>AE5*Summary!AO6</f>
        <v>37</v>
      </c>
      <c r="BW5">
        <f>AF5*Summary!AP6</f>
        <v>45</v>
      </c>
      <c r="BX5">
        <f>AG5*Summary!AQ6</f>
        <v>0</v>
      </c>
      <c r="BY5">
        <f>AH5*Summary!AR6</f>
        <v>45</v>
      </c>
      <c r="BZ5">
        <f>AI5*Summary!AS6</f>
        <v>48</v>
      </c>
      <c r="CA5">
        <f>AJ5*Summary!AT6</f>
        <v>45</v>
      </c>
      <c r="CB5">
        <f>AK5*Summary!AU6</f>
        <v>46</v>
      </c>
      <c r="CC5">
        <f>AL5*Summary!AV6</f>
        <v>49</v>
      </c>
      <c r="CD5">
        <f>AM5*Summary!AW6</f>
        <v>52</v>
      </c>
    </row>
    <row r="6" spans="1:82" x14ac:dyDescent="0.25">
      <c r="A6">
        <v>5</v>
      </c>
      <c r="B6">
        <f>IF(Summary!L7&gt;20,1,0)</f>
        <v>1</v>
      </c>
      <c r="C6">
        <f>IF(Summary!M7&gt;20,1,0)</f>
        <v>1</v>
      </c>
      <c r="D6">
        <f>IF(Summary!N7&gt;20,1,0)</f>
        <v>0</v>
      </c>
      <c r="E6">
        <f>IF(Summary!O7&gt;20,1,0)</f>
        <v>1</v>
      </c>
      <c r="F6">
        <f>IF(Summary!P7&gt;20,1,0)</f>
        <v>0</v>
      </c>
      <c r="G6">
        <f>IF(Summary!Q7&gt;20,1,0)</f>
        <v>1</v>
      </c>
      <c r="H6">
        <f>IF(Summary!R7&gt;20,1,0)</f>
        <v>1</v>
      </c>
      <c r="I6">
        <f>IF(Summary!S7&gt;20,1,0)</f>
        <v>1</v>
      </c>
      <c r="J6">
        <f>IF(Summary!T7&gt;20,1,0)</f>
        <v>1</v>
      </c>
      <c r="K6">
        <f>IF(Summary!U7&gt;20,1,0)</f>
        <v>1</v>
      </c>
      <c r="L6">
        <f>IF(Summary!V7&gt;20,1,0)</f>
        <v>1</v>
      </c>
      <c r="M6">
        <f>IF(Summary!W7&gt;20,1,0)</f>
        <v>1</v>
      </c>
      <c r="N6">
        <f>IF(Summary!X7&gt;20,1,0)</f>
        <v>1</v>
      </c>
      <c r="O6">
        <f>IF(Summary!Y7&gt;20,1,0)</f>
        <v>1</v>
      </c>
      <c r="P6">
        <f>IF(Summary!Z7&gt;20,1,0)</f>
        <v>1</v>
      </c>
      <c r="Q6">
        <f>IF(Summary!AA7&gt;20,1,0)</f>
        <v>1</v>
      </c>
      <c r="R6">
        <f>IF(Summary!AB7&gt;20,1,0)</f>
        <v>1</v>
      </c>
      <c r="S6">
        <f>IF(Summary!AC7&gt;20,1,0)</f>
        <v>1</v>
      </c>
      <c r="T6">
        <f>IF(Summary!AD7&gt;20,1,0)</f>
        <v>1</v>
      </c>
      <c r="U6">
        <f>IF(Summary!AE7&gt;20,1,0)</f>
        <v>1</v>
      </c>
      <c r="V6">
        <f>IF(Summary!AF7&gt;20,1,0)</f>
        <v>1</v>
      </c>
      <c r="W6">
        <f>IF(Summary!AG7&gt;20,1,0)</f>
        <v>1</v>
      </c>
      <c r="X6">
        <f>IF(Summary!AH7&gt;20,1,0)</f>
        <v>1</v>
      </c>
      <c r="Y6">
        <f>IF(Summary!AI7&gt;20,1,0)</f>
        <v>1</v>
      </c>
      <c r="Z6">
        <f>IF(Summary!AJ7&gt;20,1,0)</f>
        <v>1</v>
      </c>
      <c r="AA6">
        <f>IF(Summary!AK7&gt;20,1,0)</f>
        <v>1</v>
      </c>
      <c r="AB6">
        <f>IF(Summary!AL7&gt;20,1,0)</f>
        <v>1</v>
      </c>
      <c r="AC6">
        <f>IF(Summary!AM7&gt;20,1,0)</f>
        <v>1</v>
      </c>
      <c r="AD6">
        <f>IF(Summary!AN7&gt;20,1,0)</f>
        <v>1</v>
      </c>
      <c r="AE6">
        <f>IF(Summary!AO7&gt;20,1,0)</f>
        <v>1</v>
      </c>
      <c r="AF6">
        <f>IF(Summary!AP7&gt;20,1,0)</f>
        <v>1</v>
      </c>
      <c r="AG6">
        <f>IF(Summary!AQ7&gt;20,1,0)</f>
        <v>0</v>
      </c>
      <c r="AH6">
        <f>IF(Summary!AR7&gt;20,1,0)</f>
        <v>1</v>
      </c>
      <c r="AI6">
        <f>IF(Summary!AS7&gt;20,1,0)</f>
        <v>1</v>
      </c>
      <c r="AJ6">
        <f>IF(Summary!AT7&gt;20,1,0)</f>
        <v>1</v>
      </c>
      <c r="AK6">
        <f>IF(Summary!AU7&gt;20,1,0)</f>
        <v>1</v>
      </c>
      <c r="AL6">
        <f>IF(Summary!AV7&gt;20,1,0)</f>
        <v>1</v>
      </c>
      <c r="AM6">
        <f>IF(Summary!AW7&gt;20,1,0)</f>
        <v>1</v>
      </c>
      <c r="AO6">
        <v>5</v>
      </c>
      <c r="AP6">
        <f t="shared" si="0"/>
        <v>35</v>
      </c>
      <c r="AQ6">
        <f t="shared" si="1"/>
        <v>1603</v>
      </c>
      <c r="AS6">
        <f>B6*Summary!L7</f>
        <v>44</v>
      </c>
      <c r="AT6">
        <f>C6*Summary!M7</f>
        <v>40</v>
      </c>
      <c r="AU6">
        <f>D6*Summary!N7</f>
        <v>0</v>
      </c>
      <c r="AV6">
        <f>E6*Summary!O7</f>
        <v>49</v>
      </c>
      <c r="AW6">
        <f>F6*Summary!P7</f>
        <v>0</v>
      </c>
      <c r="AX6">
        <f>G6*Summary!Q7</f>
        <v>48</v>
      </c>
      <c r="AY6">
        <f>H6*Summary!R7</f>
        <v>50</v>
      </c>
      <c r="AZ6">
        <f>I6*Summary!S7</f>
        <v>43</v>
      </c>
      <c r="BA6">
        <f>J6*Summary!T7</f>
        <v>51</v>
      </c>
      <c r="BB6">
        <f>K6*Summary!U7</f>
        <v>50</v>
      </c>
      <c r="BC6">
        <f>L6*Summary!V7</f>
        <v>42</v>
      </c>
      <c r="BD6">
        <f>M6*Summary!W7</f>
        <v>50</v>
      </c>
      <c r="BE6">
        <f>N6*Summary!X7</f>
        <v>44</v>
      </c>
      <c r="BF6">
        <f>O6*Summary!Y7</f>
        <v>55</v>
      </c>
      <c r="BG6">
        <f>P6*Summary!Z7</f>
        <v>48</v>
      </c>
      <c r="BH6">
        <f>Q6*Summary!AA7</f>
        <v>46</v>
      </c>
      <c r="BI6">
        <f>R6*Summary!AB7</f>
        <v>52</v>
      </c>
      <c r="BJ6">
        <f>S6*Summary!AC7</f>
        <v>37</v>
      </c>
      <c r="BK6">
        <f>T6*Summary!AD7</f>
        <v>44</v>
      </c>
      <c r="BL6">
        <f>U6*Summary!AE7</f>
        <v>43</v>
      </c>
      <c r="BM6">
        <f>V6*Summary!AF7</f>
        <v>41</v>
      </c>
      <c r="BN6">
        <f>W6*Summary!AG7</f>
        <v>37</v>
      </c>
      <c r="BO6">
        <f>X6*Summary!AH7</f>
        <v>51</v>
      </c>
      <c r="BP6">
        <f>Y6*Summary!AI7</f>
        <v>45</v>
      </c>
      <c r="BQ6">
        <f>Z6*Summary!AJ7</f>
        <v>48</v>
      </c>
      <c r="BR6">
        <f>AA6*Summary!AK7</f>
        <v>46</v>
      </c>
      <c r="BS6">
        <f>AB6*Summary!AL7</f>
        <v>37</v>
      </c>
      <c r="BT6">
        <f>AC6*Summary!AM7</f>
        <v>48</v>
      </c>
      <c r="BU6">
        <f>AD6*Summary!AN7</f>
        <v>48</v>
      </c>
      <c r="BV6">
        <f>AE6*Summary!AO7</f>
        <v>45</v>
      </c>
      <c r="BW6">
        <f>AF6*Summary!AP7</f>
        <v>54</v>
      </c>
      <c r="BX6">
        <f>AG6*Summary!AQ7</f>
        <v>0</v>
      </c>
      <c r="BY6">
        <f>AH6*Summary!AR7</f>
        <v>51</v>
      </c>
      <c r="BZ6">
        <f>AI6*Summary!AS7</f>
        <v>42</v>
      </c>
      <c r="CA6">
        <f>AJ6*Summary!AT7</f>
        <v>47</v>
      </c>
      <c r="CB6">
        <f>AK6*Summary!AU7</f>
        <v>35</v>
      </c>
      <c r="CC6">
        <f>AL6*Summary!AV7</f>
        <v>47</v>
      </c>
      <c r="CD6">
        <f>AM6*Summary!AW7</f>
        <v>45</v>
      </c>
    </row>
    <row r="7" spans="1:82" x14ac:dyDescent="0.25">
      <c r="A7">
        <v>6</v>
      </c>
      <c r="B7">
        <f>IF(Summary!L8&gt;20,1,0)</f>
        <v>1</v>
      </c>
      <c r="C7">
        <f>IF(Summary!M8&gt;20,1,0)</f>
        <v>1</v>
      </c>
      <c r="D7">
        <f>IF(Summary!N8&gt;20,1,0)</f>
        <v>0</v>
      </c>
      <c r="E7">
        <f>IF(Summary!O8&gt;20,1,0)</f>
        <v>1</v>
      </c>
      <c r="F7">
        <f>IF(Summary!P8&gt;20,1,0)</f>
        <v>1</v>
      </c>
      <c r="G7">
        <f>IF(Summary!Q8&gt;20,1,0)</f>
        <v>1</v>
      </c>
      <c r="H7">
        <f>IF(Summary!R8&gt;20,1,0)</f>
        <v>1</v>
      </c>
      <c r="I7">
        <f>IF(Summary!S8&gt;20,1,0)</f>
        <v>1</v>
      </c>
      <c r="J7">
        <f>IF(Summary!T8&gt;20,1,0)</f>
        <v>1</v>
      </c>
      <c r="K7">
        <f>IF(Summary!U8&gt;20,1,0)</f>
        <v>1</v>
      </c>
      <c r="L7">
        <f>IF(Summary!V8&gt;20,1,0)</f>
        <v>1</v>
      </c>
      <c r="M7">
        <f>IF(Summary!W8&gt;20,1,0)</f>
        <v>1</v>
      </c>
      <c r="N7">
        <f>IF(Summary!X8&gt;20,1,0)</f>
        <v>1</v>
      </c>
      <c r="O7">
        <f>IF(Summary!Y8&gt;20,1,0)</f>
        <v>1</v>
      </c>
      <c r="P7">
        <f>IF(Summary!Z8&gt;20,1,0)</f>
        <v>1</v>
      </c>
      <c r="Q7">
        <f>IF(Summary!AA8&gt;20,1,0)</f>
        <v>1</v>
      </c>
      <c r="R7">
        <f>IF(Summary!AB8&gt;20,1,0)</f>
        <v>1</v>
      </c>
      <c r="S7">
        <f>IF(Summary!AC8&gt;20,1,0)</f>
        <v>1</v>
      </c>
      <c r="T7">
        <f>IF(Summary!AD8&gt;20,1,0)</f>
        <v>1</v>
      </c>
      <c r="U7">
        <f>IF(Summary!AE8&gt;20,1,0)</f>
        <v>1</v>
      </c>
      <c r="V7">
        <f>IF(Summary!AF8&gt;20,1,0)</f>
        <v>1</v>
      </c>
      <c r="W7">
        <f>IF(Summary!AG8&gt;20,1,0)</f>
        <v>1</v>
      </c>
      <c r="X7">
        <f>IF(Summary!AH8&gt;20,1,0)</f>
        <v>1</v>
      </c>
      <c r="Y7">
        <f>IF(Summary!AI8&gt;20,1,0)</f>
        <v>1</v>
      </c>
      <c r="Z7">
        <f>IF(Summary!AJ8&gt;20,1,0)</f>
        <v>1</v>
      </c>
      <c r="AA7">
        <f>IF(Summary!AK8&gt;20,1,0)</f>
        <v>1</v>
      </c>
      <c r="AB7">
        <f>IF(Summary!AL8&gt;20,1,0)</f>
        <v>1</v>
      </c>
      <c r="AC7">
        <f>IF(Summary!AM8&gt;20,1,0)</f>
        <v>1</v>
      </c>
      <c r="AD7">
        <f>IF(Summary!AN8&gt;20,1,0)</f>
        <v>1</v>
      </c>
      <c r="AE7">
        <f>IF(Summary!AO8&gt;20,1,0)</f>
        <v>1</v>
      </c>
      <c r="AF7">
        <f>IF(Summary!AP8&gt;20,1,0)</f>
        <v>1</v>
      </c>
      <c r="AG7">
        <f>IF(Summary!AQ8&gt;20,1,0)</f>
        <v>0</v>
      </c>
      <c r="AH7">
        <f>IF(Summary!AR8&gt;20,1,0)</f>
        <v>1</v>
      </c>
      <c r="AI7">
        <f>IF(Summary!AS8&gt;20,1,0)</f>
        <v>1</v>
      </c>
      <c r="AJ7">
        <f>IF(Summary!AT8&gt;20,1,0)</f>
        <v>1</v>
      </c>
      <c r="AK7">
        <f>IF(Summary!AU8&gt;20,1,0)</f>
        <v>1</v>
      </c>
      <c r="AL7">
        <f>IF(Summary!AV8&gt;20,1,0)</f>
        <v>1</v>
      </c>
      <c r="AM7">
        <f>IF(Summary!AW8&gt;20,1,0)</f>
        <v>1</v>
      </c>
      <c r="AO7">
        <v>6</v>
      </c>
      <c r="AP7">
        <f t="shared" si="0"/>
        <v>36</v>
      </c>
      <c r="AQ7">
        <f t="shared" si="1"/>
        <v>1569</v>
      </c>
      <c r="AS7">
        <f>B7*Summary!L8</f>
        <v>53</v>
      </c>
      <c r="AT7">
        <f>C7*Summary!M8</f>
        <v>39</v>
      </c>
      <c r="AU7">
        <f>D7*Summary!N8</f>
        <v>0</v>
      </c>
      <c r="AV7">
        <f>E7*Summary!O8</f>
        <v>46</v>
      </c>
      <c r="AW7">
        <f>F7*Summary!P8</f>
        <v>32</v>
      </c>
      <c r="AX7">
        <f>G7*Summary!Q8</f>
        <v>32</v>
      </c>
      <c r="AY7">
        <f>H7*Summary!R8</f>
        <v>47</v>
      </c>
      <c r="AZ7">
        <f>I7*Summary!S8</f>
        <v>40</v>
      </c>
      <c r="BA7">
        <f>J7*Summary!T8</f>
        <v>50</v>
      </c>
      <c r="BB7">
        <f>K7*Summary!U8</f>
        <v>44</v>
      </c>
      <c r="BC7">
        <f>L7*Summary!V8</f>
        <v>34</v>
      </c>
      <c r="BD7">
        <f>M7*Summary!W8</f>
        <v>45</v>
      </c>
      <c r="BE7">
        <f>N7*Summary!X8</f>
        <v>45</v>
      </c>
      <c r="BF7">
        <f>O7*Summary!Y8</f>
        <v>48</v>
      </c>
      <c r="BG7">
        <f>P7*Summary!Z8</f>
        <v>45</v>
      </c>
      <c r="BH7">
        <f>Q7*Summary!AA8</f>
        <v>46</v>
      </c>
      <c r="BI7">
        <f>R7*Summary!AB8</f>
        <v>46</v>
      </c>
      <c r="BJ7">
        <f>S7*Summary!AC8</f>
        <v>36</v>
      </c>
      <c r="BK7">
        <f>T7*Summary!AD8</f>
        <v>46</v>
      </c>
      <c r="BL7">
        <f>U7*Summary!AE8</f>
        <v>38</v>
      </c>
      <c r="BM7">
        <f>V7*Summary!AF8</f>
        <v>37</v>
      </c>
      <c r="BN7">
        <f>W7*Summary!AG8</f>
        <v>34</v>
      </c>
      <c r="BO7">
        <f>X7*Summary!AH8</f>
        <v>46</v>
      </c>
      <c r="BP7">
        <f>Y7*Summary!AI8</f>
        <v>37</v>
      </c>
      <c r="BQ7">
        <f>Z7*Summary!AJ8</f>
        <v>50</v>
      </c>
      <c r="BR7">
        <f>AA7*Summary!AK8</f>
        <v>40</v>
      </c>
      <c r="BS7">
        <f>AB7*Summary!AL8</f>
        <v>49</v>
      </c>
      <c r="BT7">
        <f>AC7*Summary!AM8</f>
        <v>45</v>
      </c>
      <c r="BU7">
        <f>AD7*Summary!AN8</f>
        <v>49</v>
      </c>
      <c r="BV7">
        <f>AE7*Summary!AO8</f>
        <v>47</v>
      </c>
      <c r="BW7">
        <f>AF7*Summary!AP8</f>
        <v>52</v>
      </c>
      <c r="BX7">
        <f>AG7*Summary!AQ8</f>
        <v>0</v>
      </c>
      <c r="BY7">
        <f>AH7*Summary!AR8</f>
        <v>54</v>
      </c>
      <c r="BZ7">
        <f>AI7*Summary!AS8</f>
        <v>39</v>
      </c>
      <c r="CA7">
        <f>AJ7*Summary!AT8</f>
        <v>50</v>
      </c>
      <c r="CB7">
        <f>AK7*Summary!AU8</f>
        <v>41</v>
      </c>
      <c r="CC7">
        <f>AL7*Summary!AV8</f>
        <v>44</v>
      </c>
      <c r="CD7">
        <f>AM7*Summary!AW8</f>
        <v>43</v>
      </c>
    </row>
    <row r="8" spans="1:82" x14ac:dyDescent="0.25">
      <c r="A8">
        <v>7</v>
      </c>
      <c r="B8">
        <f>IF(Summary!L9&gt;20,1,0)</f>
        <v>1</v>
      </c>
      <c r="C8">
        <f>IF(Summary!M9&gt;20,1,0)</f>
        <v>1</v>
      </c>
      <c r="D8">
        <f>IF(Summary!N9&gt;20,1,0)</f>
        <v>0</v>
      </c>
      <c r="E8">
        <f>IF(Summary!O9&gt;20,1,0)</f>
        <v>1</v>
      </c>
      <c r="F8">
        <f>IF(Summary!P9&gt;20,1,0)</f>
        <v>1</v>
      </c>
      <c r="G8">
        <f>IF(Summary!Q9&gt;20,1,0)</f>
        <v>1</v>
      </c>
      <c r="H8">
        <f>IF(Summary!R9&gt;20,1,0)</f>
        <v>1</v>
      </c>
      <c r="I8">
        <f>IF(Summary!S9&gt;20,1,0)</f>
        <v>1</v>
      </c>
      <c r="J8">
        <f>IF(Summary!T9&gt;20,1,0)</f>
        <v>1</v>
      </c>
      <c r="K8">
        <f>IF(Summary!U9&gt;20,1,0)</f>
        <v>1</v>
      </c>
      <c r="L8">
        <f>IF(Summary!V9&gt;20,1,0)</f>
        <v>1</v>
      </c>
      <c r="M8">
        <f>IF(Summary!W9&gt;20,1,0)</f>
        <v>1</v>
      </c>
      <c r="N8">
        <f>IF(Summary!X9&gt;20,1,0)</f>
        <v>1</v>
      </c>
      <c r="O8">
        <f>IF(Summary!Y9&gt;20,1,0)</f>
        <v>1</v>
      </c>
      <c r="P8">
        <f>IF(Summary!Z9&gt;20,1,0)</f>
        <v>1</v>
      </c>
      <c r="Q8">
        <f>IF(Summary!AA9&gt;20,1,0)</f>
        <v>1</v>
      </c>
      <c r="R8">
        <f>IF(Summary!AB9&gt;20,1,0)</f>
        <v>1</v>
      </c>
      <c r="S8">
        <f>IF(Summary!AC9&gt;20,1,0)</f>
        <v>0</v>
      </c>
      <c r="T8">
        <f>IF(Summary!AD9&gt;20,1,0)</f>
        <v>1</v>
      </c>
      <c r="U8">
        <f>IF(Summary!AE9&gt;20,1,0)</f>
        <v>1</v>
      </c>
      <c r="V8">
        <f>IF(Summary!AF9&gt;20,1,0)</f>
        <v>1</v>
      </c>
      <c r="W8">
        <f>IF(Summary!AG9&gt;20,1,0)</f>
        <v>1</v>
      </c>
      <c r="X8">
        <f>IF(Summary!AH9&gt;20,1,0)</f>
        <v>1</v>
      </c>
      <c r="Y8">
        <f>IF(Summary!AI9&gt;20,1,0)</f>
        <v>1</v>
      </c>
      <c r="Z8">
        <f>IF(Summary!AJ9&gt;20,1,0)</f>
        <v>1</v>
      </c>
      <c r="AA8">
        <f>IF(Summary!AK9&gt;20,1,0)</f>
        <v>1</v>
      </c>
      <c r="AB8">
        <f>IF(Summary!AL9&gt;20,1,0)</f>
        <v>1</v>
      </c>
      <c r="AC8">
        <f>IF(Summary!AM9&gt;20,1,0)</f>
        <v>1</v>
      </c>
      <c r="AD8">
        <f>IF(Summary!AN9&gt;20,1,0)</f>
        <v>1</v>
      </c>
      <c r="AE8">
        <f>IF(Summary!AO9&gt;20,1,0)</f>
        <v>1</v>
      </c>
      <c r="AF8">
        <f>IF(Summary!AP9&gt;20,1,0)</f>
        <v>1</v>
      </c>
      <c r="AG8">
        <f>IF(Summary!AQ9&gt;20,1,0)</f>
        <v>0</v>
      </c>
      <c r="AH8">
        <f>IF(Summary!AR9&gt;20,1,0)</f>
        <v>1</v>
      </c>
      <c r="AI8">
        <f>IF(Summary!AS9&gt;20,1,0)</f>
        <v>1</v>
      </c>
      <c r="AJ8">
        <f>IF(Summary!AT9&gt;20,1,0)</f>
        <v>1</v>
      </c>
      <c r="AK8">
        <f>IF(Summary!AU9&gt;20,1,0)</f>
        <v>1</v>
      </c>
      <c r="AL8">
        <f>IF(Summary!AV9&gt;20,1,0)</f>
        <v>1</v>
      </c>
      <c r="AM8">
        <f>IF(Summary!AW9&gt;20,1,0)</f>
        <v>1</v>
      </c>
      <c r="AO8">
        <v>7</v>
      </c>
      <c r="AP8">
        <f t="shared" si="0"/>
        <v>35</v>
      </c>
      <c r="AQ8">
        <f t="shared" si="1"/>
        <v>1635</v>
      </c>
      <c r="AS8">
        <f>B8*Summary!L9</f>
        <v>55</v>
      </c>
      <c r="AT8">
        <f>C8*Summary!M9</f>
        <v>49</v>
      </c>
      <c r="AU8">
        <f>D8*Summary!N9</f>
        <v>0</v>
      </c>
      <c r="AV8">
        <f>E8*Summary!O9</f>
        <v>54</v>
      </c>
      <c r="AW8">
        <f>F8*Summary!P9</f>
        <v>25</v>
      </c>
      <c r="AX8">
        <f>G8*Summary!Q9</f>
        <v>48</v>
      </c>
      <c r="AY8">
        <f>H8*Summary!R9</f>
        <v>39</v>
      </c>
      <c r="AZ8">
        <f>I8*Summary!S9</f>
        <v>33</v>
      </c>
      <c r="BA8">
        <f>J8*Summary!T9</f>
        <v>52</v>
      </c>
      <c r="BB8">
        <f>K8*Summary!U9</f>
        <v>48</v>
      </c>
      <c r="BC8">
        <f>L8*Summary!V9</f>
        <v>43</v>
      </c>
      <c r="BD8">
        <f>M8*Summary!W9</f>
        <v>47</v>
      </c>
      <c r="BE8">
        <f>N8*Summary!X9</f>
        <v>48</v>
      </c>
      <c r="BF8">
        <f>O8*Summary!Y9</f>
        <v>51</v>
      </c>
      <c r="BG8">
        <f>P8*Summary!Z9</f>
        <v>54</v>
      </c>
      <c r="BH8">
        <f>Q8*Summary!AA9</f>
        <v>45</v>
      </c>
      <c r="BI8">
        <f>R8*Summary!AB9</f>
        <v>47</v>
      </c>
      <c r="BJ8">
        <f>S8*Summary!AC9</f>
        <v>0</v>
      </c>
      <c r="BK8">
        <f>T8*Summary!AD9</f>
        <v>44</v>
      </c>
      <c r="BL8">
        <f>U8*Summary!AE9</f>
        <v>47</v>
      </c>
      <c r="BM8">
        <f>V8*Summary!AF9</f>
        <v>48</v>
      </c>
      <c r="BN8">
        <f>W8*Summary!AG9</f>
        <v>49</v>
      </c>
      <c r="BO8">
        <f>X8*Summary!AH9</f>
        <v>43</v>
      </c>
      <c r="BP8">
        <f>Y8*Summary!AI9</f>
        <v>48</v>
      </c>
      <c r="BQ8">
        <f>Z8*Summary!AJ9</f>
        <v>49</v>
      </c>
      <c r="BR8">
        <f>AA8*Summary!AK9</f>
        <v>48</v>
      </c>
      <c r="BS8">
        <f>AB8*Summary!AL9</f>
        <v>53</v>
      </c>
      <c r="BT8">
        <f>AC8*Summary!AM9</f>
        <v>50</v>
      </c>
      <c r="BU8">
        <f>AD8*Summary!AN9</f>
        <v>48</v>
      </c>
      <c r="BV8">
        <f>AE8*Summary!AO9</f>
        <v>44</v>
      </c>
      <c r="BW8">
        <f>AF8*Summary!AP9</f>
        <v>51</v>
      </c>
      <c r="BX8">
        <f>AG8*Summary!AQ9</f>
        <v>0</v>
      </c>
      <c r="BY8">
        <f>AH8*Summary!AR9</f>
        <v>49</v>
      </c>
      <c r="BZ8">
        <f>AI8*Summary!AS9</f>
        <v>48</v>
      </c>
      <c r="CA8">
        <f>AJ8*Summary!AT9</f>
        <v>53</v>
      </c>
      <c r="CB8">
        <f>AK8*Summary!AU9</f>
        <v>42</v>
      </c>
      <c r="CC8">
        <f>AL8*Summary!AV9</f>
        <v>41</v>
      </c>
      <c r="CD8">
        <f>AM8*Summary!AW9</f>
        <v>42</v>
      </c>
    </row>
    <row r="9" spans="1:82" x14ac:dyDescent="0.25">
      <c r="A9">
        <v>8</v>
      </c>
      <c r="B9">
        <f>IF(Summary!L10&gt;20,1,0)</f>
        <v>1</v>
      </c>
      <c r="C9">
        <f>IF(Summary!M10&gt;20,1,0)</f>
        <v>1</v>
      </c>
      <c r="D9">
        <f>IF(Summary!N10&gt;20,1,0)</f>
        <v>0</v>
      </c>
      <c r="E9">
        <f>IF(Summary!O10&gt;20,1,0)</f>
        <v>1</v>
      </c>
      <c r="F9">
        <f>IF(Summary!P10&gt;20,1,0)</f>
        <v>1</v>
      </c>
      <c r="G9">
        <f>IF(Summary!Q10&gt;20,1,0)</f>
        <v>1</v>
      </c>
      <c r="H9">
        <f>IF(Summary!R10&gt;20,1,0)</f>
        <v>1</v>
      </c>
      <c r="I9">
        <f>IF(Summary!S10&gt;20,1,0)</f>
        <v>1</v>
      </c>
      <c r="J9">
        <f>IF(Summary!T10&gt;20,1,0)</f>
        <v>1</v>
      </c>
      <c r="K9">
        <f>IF(Summary!U10&gt;20,1,0)</f>
        <v>1</v>
      </c>
      <c r="L9">
        <f>IF(Summary!V10&gt;20,1,0)</f>
        <v>1</v>
      </c>
      <c r="M9">
        <f>IF(Summary!W10&gt;20,1,0)</f>
        <v>1</v>
      </c>
      <c r="N9">
        <f>IF(Summary!X10&gt;20,1,0)</f>
        <v>1</v>
      </c>
      <c r="O9">
        <f>IF(Summary!Y10&gt;20,1,0)</f>
        <v>1</v>
      </c>
      <c r="P9">
        <f>IF(Summary!Z10&gt;20,1,0)</f>
        <v>1</v>
      </c>
      <c r="Q9">
        <f>IF(Summary!AA10&gt;20,1,0)</f>
        <v>1</v>
      </c>
      <c r="R9">
        <f>IF(Summary!AB10&gt;20,1,0)</f>
        <v>1</v>
      </c>
      <c r="S9">
        <f>IF(Summary!AC10&gt;20,1,0)</f>
        <v>0</v>
      </c>
      <c r="T9">
        <f>IF(Summary!AD10&gt;20,1,0)</f>
        <v>1</v>
      </c>
      <c r="U9">
        <f>IF(Summary!AE10&gt;20,1,0)</f>
        <v>1</v>
      </c>
      <c r="V9">
        <f>IF(Summary!AF10&gt;20,1,0)</f>
        <v>1</v>
      </c>
      <c r="W9">
        <f>IF(Summary!AG10&gt;20,1,0)</f>
        <v>1</v>
      </c>
      <c r="X9">
        <f>IF(Summary!AH10&gt;20,1,0)</f>
        <v>1</v>
      </c>
      <c r="Y9">
        <f>IF(Summary!AI10&gt;20,1,0)</f>
        <v>1</v>
      </c>
      <c r="Z9">
        <f>IF(Summary!AJ10&gt;20,1,0)</f>
        <v>1</v>
      </c>
      <c r="AA9">
        <f>IF(Summary!AK10&gt;20,1,0)</f>
        <v>1</v>
      </c>
      <c r="AB9">
        <f>IF(Summary!AL10&gt;20,1,0)</f>
        <v>1</v>
      </c>
      <c r="AC9">
        <f>IF(Summary!AM10&gt;20,1,0)</f>
        <v>1</v>
      </c>
      <c r="AD9">
        <f>IF(Summary!AN10&gt;20,1,0)</f>
        <v>1</v>
      </c>
      <c r="AE9">
        <f>IF(Summary!AO10&gt;20,1,0)</f>
        <v>1</v>
      </c>
      <c r="AF9">
        <f>IF(Summary!AP10&gt;20,1,0)</f>
        <v>1</v>
      </c>
      <c r="AG9">
        <f>IF(Summary!AQ10&gt;20,1,0)</f>
        <v>0</v>
      </c>
      <c r="AH9">
        <f>IF(Summary!AR10&gt;20,1,0)</f>
        <v>1</v>
      </c>
      <c r="AI9">
        <f>IF(Summary!AS10&gt;20,1,0)</f>
        <v>1</v>
      </c>
      <c r="AJ9">
        <f>IF(Summary!AT10&gt;20,1,0)</f>
        <v>1</v>
      </c>
      <c r="AK9">
        <f>IF(Summary!AU10&gt;20,1,0)</f>
        <v>1</v>
      </c>
      <c r="AL9">
        <f>IF(Summary!AV10&gt;20,1,0)</f>
        <v>1</v>
      </c>
      <c r="AM9">
        <f>IF(Summary!AW10&gt;20,1,0)</f>
        <v>1</v>
      </c>
      <c r="AO9">
        <v>8</v>
      </c>
      <c r="AP9">
        <f t="shared" si="0"/>
        <v>35</v>
      </c>
      <c r="AQ9">
        <f t="shared" si="1"/>
        <v>1568</v>
      </c>
      <c r="AS9">
        <f>B9*Summary!L10</f>
        <v>52</v>
      </c>
      <c r="AT9">
        <f>C9*Summary!M10</f>
        <v>36</v>
      </c>
      <c r="AU9">
        <f>D9*Summary!N10</f>
        <v>0</v>
      </c>
      <c r="AV9">
        <f>E9*Summary!O10</f>
        <v>52</v>
      </c>
      <c r="AW9">
        <f>F9*Summary!P10</f>
        <v>23</v>
      </c>
      <c r="AX9">
        <f>G9*Summary!Q10</f>
        <v>45</v>
      </c>
      <c r="AY9">
        <f>H9*Summary!R10</f>
        <v>52</v>
      </c>
      <c r="AZ9">
        <f>I9*Summary!S10</f>
        <v>36</v>
      </c>
      <c r="BA9">
        <f>J9*Summary!T10</f>
        <v>48</v>
      </c>
      <c r="BB9">
        <f>K9*Summary!U10</f>
        <v>38</v>
      </c>
      <c r="BC9">
        <f>L9*Summary!V10</f>
        <v>41</v>
      </c>
      <c r="BD9">
        <f>M9*Summary!W10</f>
        <v>46</v>
      </c>
      <c r="BE9">
        <f>N9*Summary!X10</f>
        <v>46</v>
      </c>
      <c r="BF9">
        <f>O9*Summary!Y10</f>
        <v>47</v>
      </c>
      <c r="BG9">
        <f>P9*Summary!Z10</f>
        <v>46</v>
      </c>
      <c r="BH9">
        <f>Q9*Summary!AA10</f>
        <v>49</v>
      </c>
      <c r="BI9">
        <f>R9*Summary!AB10</f>
        <v>48</v>
      </c>
      <c r="BJ9">
        <f>S9*Summary!AC10</f>
        <v>0</v>
      </c>
      <c r="BK9">
        <f>T9*Summary!AD10</f>
        <v>47</v>
      </c>
      <c r="BL9">
        <f>U9*Summary!AE10</f>
        <v>42</v>
      </c>
      <c r="BM9">
        <f>V9*Summary!AF10</f>
        <v>46</v>
      </c>
      <c r="BN9">
        <f>W9*Summary!AG10</f>
        <v>50</v>
      </c>
      <c r="BO9">
        <f>X9*Summary!AH10</f>
        <v>47</v>
      </c>
      <c r="BP9">
        <f>Y9*Summary!AI10</f>
        <v>49</v>
      </c>
      <c r="BQ9">
        <f>Z9*Summary!AJ10</f>
        <v>45</v>
      </c>
      <c r="BR9">
        <f>AA9*Summary!AK10</f>
        <v>38</v>
      </c>
      <c r="BS9">
        <f>AB9*Summary!AL10</f>
        <v>49</v>
      </c>
      <c r="BT9">
        <f>AC9*Summary!AM10</f>
        <v>47</v>
      </c>
      <c r="BU9">
        <f>AD9*Summary!AN10</f>
        <v>43</v>
      </c>
      <c r="BV9">
        <f>AE9*Summary!AO10</f>
        <v>47</v>
      </c>
      <c r="BW9">
        <f>AF9*Summary!AP10</f>
        <v>42</v>
      </c>
      <c r="BX9">
        <f>AG9*Summary!AQ10</f>
        <v>0</v>
      </c>
      <c r="BY9">
        <f>AH9*Summary!AR10</f>
        <v>49</v>
      </c>
      <c r="BZ9">
        <f>AI9*Summary!AS10</f>
        <v>47</v>
      </c>
      <c r="CA9">
        <f>AJ9*Summary!AT10</f>
        <v>50</v>
      </c>
      <c r="CB9">
        <f>AK9*Summary!AU10</f>
        <v>40</v>
      </c>
      <c r="CC9">
        <f>AL9*Summary!AV10</f>
        <v>45</v>
      </c>
      <c r="CD9">
        <f>AM9*Summary!AW10</f>
        <v>40</v>
      </c>
    </row>
    <row r="10" spans="1:82" x14ac:dyDescent="0.25">
      <c r="A10">
        <v>9</v>
      </c>
      <c r="B10">
        <f>IF(Summary!L11&gt;20,1,0)</f>
        <v>1</v>
      </c>
      <c r="C10">
        <f>IF(Summary!M11&gt;20,1,0)</f>
        <v>1</v>
      </c>
      <c r="D10">
        <f>IF(Summary!N11&gt;20,1,0)</f>
        <v>0</v>
      </c>
      <c r="E10">
        <f>IF(Summary!O11&gt;20,1,0)</f>
        <v>1</v>
      </c>
      <c r="F10">
        <f>IF(Summary!P11&gt;20,1,0)</f>
        <v>1</v>
      </c>
      <c r="G10">
        <f>IF(Summary!Q11&gt;20,1,0)</f>
        <v>1</v>
      </c>
      <c r="H10">
        <f>IF(Summary!R11&gt;20,1,0)</f>
        <v>1</v>
      </c>
      <c r="I10">
        <f>IF(Summary!S11&gt;20,1,0)</f>
        <v>1</v>
      </c>
      <c r="J10">
        <f>IF(Summary!T11&gt;20,1,0)</f>
        <v>1</v>
      </c>
      <c r="K10">
        <f>IF(Summary!U11&gt;20,1,0)</f>
        <v>1</v>
      </c>
      <c r="L10">
        <f>IF(Summary!V11&gt;20,1,0)</f>
        <v>1</v>
      </c>
      <c r="M10">
        <f>IF(Summary!W11&gt;20,1,0)</f>
        <v>1</v>
      </c>
      <c r="N10">
        <f>IF(Summary!X11&gt;20,1,0)</f>
        <v>1</v>
      </c>
      <c r="O10">
        <f>IF(Summary!Y11&gt;20,1,0)</f>
        <v>1</v>
      </c>
      <c r="P10">
        <f>IF(Summary!Z11&gt;20,1,0)</f>
        <v>1</v>
      </c>
      <c r="Q10">
        <f>IF(Summary!AA11&gt;20,1,0)</f>
        <v>1</v>
      </c>
      <c r="R10">
        <f>IF(Summary!AB11&gt;20,1,0)</f>
        <v>1</v>
      </c>
      <c r="S10">
        <f>IF(Summary!AC11&gt;20,1,0)</f>
        <v>0</v>
      </c>
      <c r="T10">
        <f>IF(Summary!AD11&gt;20,1,0)</f>
        <v>1</v>
      </c>
      <c r="U10">
        <f>IF(Summary!AE11&gt;20,1,0)</f>
        <v>1</v>
      </c>
      <c r="V10">
        <f>IF(Summary!AF11&gt;20,1,0)</f>
        <v>1</v>
      </c>
      <c r="W10">
        <f>IF(Summary!AG11&gt;20,1,0)</f>
        <v>1</v>
      </c>
      <c r="X10">
        <f>IF(Summary!AH11&gt;20,1,0)</f>
        <v>1</v>
      </c>
      <c r="Y10">
        <f>IF(Summary!AI11&gt;20,1,0)</f>
        <v>1</v>
      </c>
      <c r="Z10">
        <f>IF(Summary!AJ11&gt;20,1,0)</f>
        <v>1</v>
      </c>
      <c r="AA10">
        <f>IF(Summary!AK11&gt;20,1,0)</f>
        <v>1</v>
      </c>
      <c r="AB10">
        <f>IF(Summary!AL11&gt;20,1,0)</f>
        <v>1</v>
      </c>
      <c r="AC10">
        <f>IF(Summary!AM11&gt;20,1,0)</f>
        <v>1</v>
      </c>
      <c r="AD10">
        <f>IF(Summary!AN11&gt;20,1,0)</f>
        <v>1</v>
      </c>
      <c r="AE10">
        <f>IF(Summary!AO11&gt;20,1,0)</f>
        <v>1</v>
      </c>
      <c r="AF10">
        <f>IF(Summary!AP11&gt;20,1,0)</f>
        <v>1</v>
      </c>
      <c r="AG10">
        <f>IF(Summary!AQ11&gt;20,1,0)</f>
        <v>0</v>
      </c>
      <c r="AH10">
        <f>IF(Summary!AR11&gt;20,1,0)</f>
        <v>1</v>
      </c>
      <c r="AI10">
        <f>IF(Summary!AS11&gt;20,1,0)</f>
        <v>1</v>
      </c>
      <c r="AJ10">
        <f>IF(Summary!AT11&gt;20,1,0)</f>
        <v>1</v>
      </c>
      <c r="AK10">
        <f>IF(Summary!AU11&gt;20,1,0)</f>
        <v>0</v>
      </c>
      <c r="AL10">
        <f>IF(Summary!AV11&gt;20,1,0)</f>
        <v>1</v>
      </c>
      <c r="AM10">
        <f>IF(Summary!AW11&gt;20,1,0)</f>
        <v>1</v>
      </c>
      <c r="AO10">
        <v>9</v>
      </c>
      <c r="AP10">
        <f t="shared" si="0"/>
        <v>34</v>
      </c>
      <c r="AQ10">
        <f t="shared" si="1"/>
        <v>1523</v>
      </c>
      <c r="AS10">
        <f>B10*Summary!L11</f>
        <v>49</v>
      </c>
      <c r="AT10">
        <f>C10*Summary!M11</f>
        <v>40</v>
      </c>
      <c r="AU10">
        <f>D10*Summary!N11</f>
        <v>0</v>
      </c>
      <c r="AV10">
        <f>E10*Summary!O11</f>
        <v>52</v>
      </c>
      <c r="AW10">
        <f>F10*Summary!P11</f>
        <v>24</v>
      </c>
      <c r="AX10">
        <f>G10*Summary!Q11</f>
        <v>41</v>
      </c>
      <c r="AY10">
        <f>H10*Summary!R11</f>
        <v>37</v>
      </c>
      <c r="AZ10">
        <f>I10*Summary!S11</f>
        <v>35</v>
      </c>
      <c r="BA10">
        <f>J10*Summary!T11</f>
        <v>50</v>
      </c>
      <c r="BB10">
        <f>K10*Summary!U11</f>
        <v>50</v>
      </c>
      <c r="BC10">
        <f>L10*Summary!V11</f>
        <v>41</v>
      </c>
      <c r="BD10">
        <f>M10*Summary!W11</f>
        <v>43</v>
      </c>
      <c r="BE10">
        <f>N10*Summary!X11</f>
        <v>44</v>
      </c>
      <c r="BF10">
        <f>O10*Summary!Y11</f>
        <v>51</v>
      </c>
      <c r="BG10">
        <f>P10*Summary!Z11</f>
        <v>49</v>
      </c>
      <c r="BH10">
        <f>Q10*Summary!AA11</f>
        <v>40</v>
      </c>
      <c r="BI10">
        <f>R10*Summary!AB11</f>
        <v>52</v>
      </c>
      <c r="BJ10">
        <f>S10*Summary!AC11</f>
        <v>0</v>
      </c>
      <c r="BK10">
        <f>T10*Summary!AD11</f>
        <v>49</v>
      </c>
      <c r="BL10">
        <f>U10*Summary!AE11</f>
        <v>42</v>
      </c>
      <c r="BM10">
        <f>V10*Summary!AF11</f>
        <v>44</v>
      </c>
      <c r="BN10">
        <f>W10*Summary!AG11</f>
        <v>44</v>
      </c>
      <c r="BO10">
        <f>X10*Summary!AH11</f>
        <v>49</v>
      </c>
      <c r="BP10">
        <f>Y10*Summary!AI11</f>
        <v>47</v>
      </c>
      <c r="BQ10">
        <f>Z10*Summary!AJ11</f>
        <v>48</v>
      </c>
      <c r="BR10">
        <f>AA10*Summary!AK11</f>
        <v>44</v>
      </c>
      <c r="BS10">
        <f>AB10*Summary!AL11</f>
        <v>47</v>
      </c>
      <c r="BT10">
        <f>AC10*Summary!AM11</f>
        <v>43</v>
      </c>
      <c r="BU10">
        <f>AD10*Summary!AN11</f>
        <v>47</v>
      </c>
      <c r="BV10">
        <f>AE10*Summary!AO11</f>
        <v>48</v>
      </c>
      <c r="BW10">
        <f>AF10*Summary!AP11</f>
        <v>48</v>
      </c>
      <c r="BX10">
        <f>AG10*Summary!AQ11</f>
        <v>0</v>
      </c>
      <c r="BY10">
        <f>AH10*Summary!AR11</f>
        <v>46</v>
      </c>
      <c r="BZ10">
        <f>AI10*Summary!AS11</f>
        <v>45</v>
      </c>
      <c r="CA10">
        <f>AJ10*Summary!AT11</f>
        <v>53</v>
      </c>
      <c r="CB10">
        <f>AK10*Summary!AU11</f>
        <v>0</v>
      </c>
      <c r="CC10">
        <f>AL10*Summary!AV11</f>
        <v>43</v>
      </c>
      <c r="CD10">
        <f>AM10*Summary!AW11</f>
        <v>38</v>
      </c>
    </row>
    <row r="11" spans="1:82" x14ac:dyDescent="0.25">
      <c r="A11">
        <v>10</v>
      </c>
      <c r="B11">
        <f>IF(Summary!L12&gt;20,1,0)</f>
        <v>1</v>
      </c>
      <c r="C11">
        <f>IF(Summary!M12&gt;20,1,0)</f>
        <v>1</v>
      </c>
      <c r="D11">
        <f>IF(Summary!N12&gt;20,1,0)</f>
        <v>0</v>
      </c>
      <c r="E11">
        <f>IF(Summary!O12&gt;20,1,0)</f>
        <v>1</v>
      </c>
      <c r="F11">
        <f>IF(Summary!P12&gt;20,1,0)</f>
        <v>1</v>
      </c>
      <c r="G11">
        <f>IF(Summary!Q12&gt;20,1,0)</f>
        <v>1</v>
      </c>
      <c r="H11">
        <f>IF(Summary!R12&gt;20,1,0)</f>
        <v>1</v>
      </c>
      <c r="I11">
        <f>IF(Summary!S12&gt;20,1,0)</f>
        <v>1</v>
      </c>
      <c r="J11">
        <f>IF(Summary!T12&gt;20,1,0)</f>
        <v>1</v>
      </c>
      <c r="K11">
        <f>IF(Summary!U12&gt;20,1,0)</f>
        <v>1</v>
      </c>
      <c r="L11">
        <f>IF(Summary!V12&gt;20,1,0)</f>
        <v>1</v>
      </c>
      <c r="M11">
        <f>IF(Summary!W12&gt;20,1,0)</f>
        <v>1</v>
      </c>
      <c r="N11">
        <f>IF(Summary!X12&gt;20,1,0)</f>
        <v>1</v>
      </c>
      <c r="O11">
        <f>IF(Summary!Y12&gt;20,1,0)</f>
        <v>1</v>
      </c>
      <c r="P11">
        <f>IF(Summary!Z12&gt;20,1,0)</f>
        <v>1</v>
      </c>
      <c r="Q11">
        <f>IF(Summary!AA12&gt;20,1,0)</f>
        <v>1</v>
      </c>
      <c r="R11">
        <f>IF(Summary!AB12&gt;20,1,0)</f>
        <v>1</v>
      </c>
      <c r="S11">
        <f>IF(Summary!AC12&gt;20,1,0)</f>
        <v>0</v>
      </c>
      <c r="T11">
        <f>IF(Summary!AD12&gt;20,1,0)</f>
        <v>1</v>
      </c>
      <c r="U11">
        <f>IF(Summary!AE12&gt;20,1,0)</f>
        <v>1</v>
      </c>
      <c r="V11">
        <f>IF(Summary!AF12&gt;20,1,0)</f>
        <v>1</v>
      </c>
      <c r="W11">
        <f>IF(Summary!AG12&gt;20,1,0)</f>
        <v>1</v>
      </c>
      <c r="X11">
        <f>IF(Summary!AH12&gt;20,1,0)</f>
        <v>1</v>
      </c>
      <c r="Y11">
        <f>IF(Summary!AI12&gt;20,1,0)</f>
        <v>1</v>
      </c>
      <c r="Z11">
        <f>IF(Summary!AJ12&gt;20,1,0)</f>
        <v>1</v>
      </c>
      <c r="AA11">
        <f>IF(Summary!AK12&gt;20,1,0)</f>
        <v>1</v>
      </c>
      <c r="AB11">
        <f>IF(Summary!AL12&gt;20,1,0)</f>
        <v>1</v>
      </c>
      <c r="AC11">
        <f>IF(Summary!AM12&gt;20,1,0)</f>
        <v>1</v>
      </c>
      <c r="AD11">
        <f>IF(Summary!AN12&gt;20,1,0)</f>
        <v>1</v>
      </c>
      <c r="AE11">
        <f>IF(Summary!AO12&gt;20,1,0)</f>
        <v>1</v>
      </c>
      <c r="AF11">
        <f>IF(Summary!AP12&gt;20,1,0)</f>
        <v>1</v>
      </c>
      <c r="AG11">
        <f>IF(Summary!AQ12&gt;20,1,0)</f>
        <v>1</v>
      </c>
      <c r="AH11">
        <f>IF(Summary!AR12&gt;20,1,0)</f>
        <v>1</v>
      </c>
      <c r="AI11">
        <f>IF(Summary!AS12&gt;20,1,0)</f>
        <v>1</v>
      </c>
      <c r="AJ11">
        <f>IF(Summary!AT12&gt;20,1,0)</f>
        <v>1</v>
      </c>
      <c r="AK11">
        <f>IF(Summary!AU12&gt;20,1,0)</f>
        <v>1</v>
      </c>
      <c r="AL11">
        <f>IF(Summary!AV12&gt;20,1,0)</f>
        <v>1</v>
      </c>
      <c r="AM11">
        <f>IF(Summary!AW12&gt;20,1,0)</f>
        <v>1</v>
      </c>
      <c r="AO11">
        <v>10</v>
      </c>
      <c r="AP11">
        <f t="shared" si="0"/>
        <v>36</v>
      </c>
      <c r="AQ11">
        <f t="shared" si="1"/>
        <v>1580</v>
      </c>
      <c r="AS11">
        <f>B11*Summary!L12</f>
        <v>56</v>
      </c>
      <c r="AT11">
        <f>C11*Summary!M12</f>
        <v>37</v>
      </c>
      <c r="AU11">
        <f>D11*Summary!N12</f>
        <v>0</v>
      </c>
      <c r="AV11">
        <f>E11*Summary!O12</f>
        <v>53</v>
      </c>
      <c r="AW11">
        <f>F11*Summary!P12</f>
        <v>29</v>
      </c>
      <c r="AX11">
        <f>G11*Summary!Q12</f>
        <v>40</v>
      </c>
      <c r="AY11">
        <f>H11*Summary!R12</f>
        <v>46</v>
      </c>
      <c r="AZ11">
        <f>I11*Summary!S12</f>
        <v>39</v>
      </c>
      <c r="BA11">
        <f>J11*Summary!T12</f>
        <v>54</v>
      </c>
      <c r="BB11">
        <f>K11*Summary!U12</f>
        <v>43</v>
      </c>
      <c r="BC11">
        <f>L11*Summary!V12</f>
        <v>26</v>
      </c>
      <c r="BD11">
        <f>M11*Summary!W12</f>
        <v>45</v>
      </c>
      <c r="BE11">
        <f>N11*Summary!X12</f>
        <v>48</v>
      </c>
      <c r="BF11">
        <f>O11*Summary!Y12</f>
        <v>45</v>
      </c>
      <c r="BG11">
        <f>P11*Summary!Z12</f>
        <v>44</v>
      </c>
      <c r="BH11">
        <f>Q11*Summary!AA12</f>
        <v>45</v>
      </c>
      <c r="BI11">
        <f>R11*Summary!AB12</f>
        <v>51</v>
      </c>
      <c r="BJ11">
        <f>S11*Summary!AC12</f>
        <v>0</v>
      </c>
      <c r="BK11">
        <f>T11*Summary!AD12</f>
        <v>40</v>
      </c>
      <c r="BL11">
        <f>U11*Summary!AE12</f>
        <v>43</v>
      </c>
      <c r="BM11">
        <f>V11*Summary!AF12</f>
        <v>42</v>
      </c>
      <c r="BN11">
        <f>W11*Summary!AG12</f>
        <v>40</v>
      </c>
      <c r="BO11">
        <f>X11*Summary!AH12</f>
        <v>47</v>
      </c>
      <c r="BP11">
        <f>Y11*Summary!AI12</f>
        <v>45</v>
      </c>
      <c r="BQ11">
        <f>Z11*Summary!AJ12</f>
        <v>47</v>
      </c>
      <c r="BR11">
        <f>AA11*Summary!AK12</f>
        <v>52</v>
      </c>
      <c r="BS11">
        <f>AB11*Summary!AL12</f>
        <v>52</v>
      </c>
      <c r="BT11">
        <f>AC11*Summary!AM12</f>
        <v>43</v>
      </c>
      <c r="BU11">
        <f>AD11*Summary!AN12</f>
        <v>49</v>
      </c>
      <c r="BV11">
        <f>AE11*Summary!AO12</f>
        <v>46</v>
      </c>
      <c r="BW11">
        <f>AF11*Summary!AP12</f>
        <v>43</v>
      </c>
      <c r="BX11">
        <f>AG11*Summary!AQ12</f>
        <v>31</v>
      </c>
      <c r="BY11">
        <f>AH11*Summary!AR12</f>
        <v>53</v>
      </c>
      <c r="BZ11">
        <f>AI11*Summary!AS12</f>
        <v>48</v>
      </c>
      <c r="CA11">
        <f>AJ11*Summary!AT12</f>
        <v>44</v>
      </c>
      <c r="CB11">
        <f>AK11*Summary!AU12</f>
        <v>34</v>
      </c>
      <c r="CC11">
        <f>AL11*Summary!AV12</f>
        <v>39</v>
      </c>
      <c r="CD11">
        <f>AM11*Summary!AW12</f>
        <v>41</v>
      </c>
    </row>
    <row r="12" spans="1:82" x14ac:dyDescent="0.25">
      <c r="A12">
        <v>11</v>
      </c>
      <c r="B12">
        <f>IF(Summary!L13&gt;20,1,0)</f>
        <v>1</v>
      </c>
      <c r="C12">
        <f>IF(Summary!M13&gt;20,1,0)</f>
        <v>1</v>
      </c>
      <c r="D12">
        <f>IF(Summary!N13&gt;20,1,0)</f>
        <v>0</v>
      </c>
      <c r="E12">
        <f>IF(Summary!O13&gt;20,1,0)</f>
        <v>1</v>
      </c>
      <c r="F12">
        <f>IF(Summary!P13&gt;20,1,0)</f>
        <v>1</v>
      </c>
      <c r="G12">
        <f>IF(Summary!Q13&gt;20,1,0)</f>
        <v>1</v>
      </c>
      <c r="H12">
        <f>IF(Summary!R13&gt;20,1,0)</f>
        <v>1</v>
      </c>
      <c r="I12">
        <f>IF(Summary!S13&gt;20,1,0)</f>
        <v>1</v>
      </c>
      <c r="J12">
        <f>IF(Summary!T13&gt;20,1,0)</f>
        <v>1</v>
      </c>
      <c r="K12">
        <f>IF(Summary!U13&gt;20,1,0)</f>
        <v>1</v>
      </c>
      <c r="L12">
        <f>IF(Summary!V13&gt;20,1,0)</f>
        <v>1</v>
      </c>
      <c r="M12">
        <f>IF(Summary!W13&gt;20,1,0)</f>
        <v>1</v>
      </c>
      <c r="N12">
        <f>IF(Summary!X13&gt;20,1,0)</f>
        <v>1</v>
      </c>
      <c r="O12">
        <f>IF(Summary!Y13&gt;20,1,0)</f>
        <v>1</v>
      </c>
      <c r="P12">
        <f>IF(Summary!Z13&gt;20,1,0)</f>
        <v>1</v>
      </c>
      <c r="Q12">
        <f>IF(Summary!AA13&gt;20,1,0)</f>
        <v>1</v>
      </c>
      <c r="R12">
        <f>IF(Summary!AB13&gt;20,1,0)</f>
        <v>1</v>
      </c>
      <c r="S12">
        <f>IF(Summary!AC13&gt;20,1,0)</f>
        <v>0</v>
      </c>
      <c r="T12">
        <f>IF(Summary!AD13&gt;20,1,0)</f>
        <v>1</v>
      </c>
      <c r="U12">
        <f>IF(Summary!AE13&gt;20,1,0)</f>
        <v>1</v>
      </c>
      <c r="V12">
        <f>IF(Summary!AF13&gt;20,1,0)</f>
        <v>1</v>
      </c>
      <c r="W12">
        <f>IF(Summary!AG13&gt;20,1,0)</f>
        <v>1</v>
      </c>
      <c r="X12">
        <f>IF(Summary!AH13&gt;20,1,0)</f>
        <v>1</v>
      </c>
      <c r="Y12">
        <f>IF(Summary!AI13&gt;20,1,0)</f>
        <v>1</v>
      </c>
      <c r="Z12">
        <f>IF(Summary!AJ13&gt;20,1,0)</f>
        <v>1</v>
      </c>
      <c r="AA12">
        <f>IF(Summary!AK13&gt;20,1,0)</f>
        <v>1</v>
      </c>
      <c r="AB12">
        <f>IF(Summary!AL13&gt;20,1,0)</f>
        <v>1</v>
      </c>
      <c r="AC12">
        <f>IF(Summary!AM13&gt;20,1,0)</f>
        <v>1</v>
      </c>
      <c r="AD12">
        <f>IF(Summary!AN13&gt;20,1,0)</f>
        <v>1</v>
      </c>
      <c r="AE12">
        <f>IF(Summary!AO13&gt;20,1,0)</f>
        <v>1</v>
      </c>
      <c r="AF12">
        <f>IF(Summary!AP13&gt;20,1,0)</f>
        <v>1</v>
      </c>
      <c r="AG12">
        <f>IF(Summary!AQ13&gt;20,1,0)</f>
        <v>1</v>
      </c>
      <c r="AH12">
        <f>IF(Summary!AR13&gt;20,1,0)</f>
        <v>1</v>
      </c>
      <c r="AI12">
        <f>IF(Summary!AS13&gt;20,1,0)</f>
        <v>1</v>
      </c>
      <c r="AJ12">
        <f>IF(Summary!AT13&gt;20,1,0)</f>
        <v>1</v>
      </c>
      <c r="AK12">
        <f>IF(Summary!AU13&gt;20,1,0)</f>
        <v>1</v>
      </c>
      <c r="AL12">
        <f>IF(Summary!AV13&gt;20,1,0)</f>
        <v>1</v>
      </c>
      <c r="AM12">
        <f>IF(Summary!AW13&gt;20,1,0)</f>
        <v>1</v>
      </c>
      <c r="AO12">
        <v>11</v>
      </c>
      <c r="AP12">
        <f t="shared" si="0"/>
        <v>36</v>
      </c>
      <c r="AQ12">
        <f t="shared" si="1"/>
        <v>1635</v>
      </c>
      <c r="AS12">
        <f>B12*Summary!L13</f>
        <v>49</v>
      </c>
      <c r="AT12">
        <f>C12*Summary!M13</f>
        <v>42</v>
      </c>
      <c r="AU12">
        <f>D12*Summary!N13</f>
        <v>0</v>
      </c>
      <c r="AV12">
        <f>E12*Summary!O13</f>
        <v>49</v>
      </c>
      <c r="AW12">
        <f>F12*Summary!P13</f>
        <v>27</v>
      </c>
      <c r="AX12">
        <f>G12*Summary!Q13</f>
        <v>42</v>
      </c>
      <c r="AY12">
        <f>H12*Summary!R13</f>
        <v>51</v>
      </c>
      <c r="AZ12">
        <f>I12*Summary!S13</f>
        <v>25</v>
      </c>
      <c r="BA12">
        <f>J12*Summary!T13</f>
        <v>54</v>
      </c>
      <c r="BB12">
        <f>K12*Summary!U13</f>
        <v>48</v>
      </c>
      <c r="BC12">
        <f>L12*Summary!V13</f>
        <v>42</v>
      </c>
      <c r="BD12">
        <f>M12*Summary!W13</f>
        <v>45</v>
      </c>
      <c r="BE12">
        <f>N12*Summary!X13</f>
        <v>41</v>
      </c>
      <c r="BF12">
        <f>O12*Summary!Y13</f>
        <v>48</v>
      </c>
      <c r="BG12">
        <f>P12*Summary!Z13</f>
        <v>51</v>
      </c>
      <c r="BH12">
        <f>Q12*Summary!AA13</f>
        <v>44</v>
      </c>
      <c r="BI12">
        <f>R12*Summary!AB13</f>
        <v>49</v>
      </c>
      <c r="BJ12">
        <f>S12*Summary!AC13</f>
        <v>0</v>
      </c>
      <c r="BK12">
        <f>T12*Summary!AD13</f>
        <v>45</v>
      </c>
      <c r="BL12">
        <f>U12*Summary!AE13</f>
        <v>46</v>
      </c>
      <c r="BM12">
        <f>V12*Summary!AF13</f>
        <v>47</v>
      </c>
      <c r="BN12">
        <f>W12*Summary!AG13</f>
        <v>53</v>
      </c>
      <c r="BO12">
        <f>X12*Summary!AH13</f>
        <v>51</v>
      </c>
      <c r="BP12">
        <f>Y12*Summary!AI13</f>
        <v>49</v>
      </c>
      <c r="BQ12">
        <f>Z12*Summary!AJ13</f>
        <v>46</v>
      </c>
      <c r="BR12">
        <f>AA12*Summary!AK13</f>
        <v>47</v>
      </c>
      <c r="BS12">
        <f>AB12*Summary!AL13</f>
        <v>52</v>
      </c>
      <c r="BT12">
        <f>AC12*Summary!AM13</f>
        <v>50</v>
      </c>
      <c r="BU12">
        <f>AD12*Summary!AN13</f>
        <v>45</v>
      </c>
      <c r="BV12">
        <f>AE12*Summary!AO13</f>
        <v>47</v>
      </c>
      <c r="BW12">
        <f>AF12*Summary!AP13</f>
        <v>48</v>
      </c>
      <c r="BX12">
        <f>AG12*Summary!AQ13</f>
        <v>39</v>
      </c>
      <c r="BY12">
        <f>AH12*Summary!AR13</f>
        <v>47</v>
      </c>
      <c r="BZ12">
        <f>AI12*Summary!AS13</f>
        <v>46</v>
      </c>
      <c r="CA12">
        <f>AJ12*Summary!AT13</f>
        <v>50</v>
      </c>
      <c r="CB12">
        <f>AK12*Summary!AU13</f>
        <v>36</v>
      </c>
      <c r="CC12">
        <f>AL12*Summary!AV13</f>
        <v>41</v>
      </c>
      <c r="CD12">
        <f>AM12*Summary!AW13</f>
        <v>43</v>
      </c>
    </row>
    <row r="13" spans="1:82" x14ac:dyDescent="0.25">
      <c r="A13">
        <v>12</v>
      </c>
      <c r="B13">
        <f>IF(Summary!L14&gt;20,1,0)</f>
        <v>1</v>
      </c>
      <c r="C13">
        <f>IF(Summary!M14&gt;20,1,0)</f>
        <v>1</v>
      </c>
      <c r="D13">
        <f>IF(Summary!N14&gt;20,1,0)</f>
        <v>0</v>
      </c>
      <c r="E13">
        <f>IF(Summary!O14&gt;20,1,0)</f>
        <v>1</v>
      </c>
      <c r="F13">
        <f>IF(Summary!P14&gt;20,1,0)</f>
        <v>0</v>
      </c>
      <c r="G13">
        <f>IF(Summary!Q14&gt;20,1,0)</f>
        <v>1</v>
      </c>
      <c r="H13">
        <f>IF(Summary!R14&gt;20,1,0)</f>
        <v>1</v>
      </c>
      <c r="I13">
        <f>IF(Summary!S14&gt;20,1,0)</f>
        <v>1</v>
      </c>
      <c r="J13">
        <f>IF(Summary!T14&gt;20,1,0)</f>
        <v>1</v>
      </c>
      <c r="K13">
        <f>IF(Summary!U14&gt;20,1,0)</f>
        <v>1</v>
      </c>
      <c r="L13">
        <f>IF(Summary!V14&gt;20,1,0)</f>
        <v>1</v>
      </c>
      <c r="M13">
        <f>IF(Summary!W14&gt;20,1,0)</f>
        <v>1</v>
      </c>
      <c r="N13">
        <f>IF(Summary!X14&gt;20,1,0)</f>
        <v>1</v>
      </c>
      <c r="O13">
        <f>IF(Summary!Y14&gt;20,1,0)</f>
        <v>1</v>
      </c>
      <c r="P13">
        <f>IF(Summary!Z14&gt;20,1,0)</f>
        <v>1</v>
      </c>
      <c r="Q13">
        <f>IF(Summary!AA14&gt;20,1,0)</f>
        <v>1</v>
      </c>
      <c r="R13">
        <f>IF(Summary!AB14&gt;20,1,0)</f>
        <v>1</v>
      </c>
      <c r="S13">
        <f>IF(Summary!AC14&gt;20,1,0)</f>
        <v>0</v>
      </c>
      <c r="T13">
        <f>IF(Summary!AD14&gt;20,1,0)</f>
        <v>1</v>
      </c>
      <c r="U13">
        <f>IF(Summary!AE14&gt;20,1,0)</f>
        <v>1</v>
      </c>
      <c r="V13">
        <f>IF(Summary!AF14&gt;20,1,0)</f>
        <v>1</v>
      </c>
      <c r="W13">
        <f>IF(Summary!AG14&gt;20,1,0)</f>
        <v>1</v>
      </c>
      <c r="X13">
        <f>IF(Summary!AH14&gt;20,1,0)</f>
        <v>1</v>
      </c>
      <c r="Y13">
        <f>IF(Summary!AI14&gt;20,1,0)</f>
        <v>1</v>
      </c>
      <c r="Z13">
        <f>IF(Summary!AJ14&gt;20,1,0)</f>
        <v>1</v>
      </c>
      <c r="AA13">
        <f>IF(Summary!AK14&gt;20,1,0)</f>
        <v>1</v>
      </c>
      <c r="AB13">
        <f>IF(Summary!AL14&gt;20,1,0)</f>
        <v>1</v>
      </c>
      <c r="AC13">
        <f>IF(Summary!AM14&gt;20,1,0)</f>
        <v>1</v>
      </c>
      <c r="AD13">
        <f>IF(Summary!AN14&gt;20,1,0)</f>
        <v>1</v>
      </c>
      <c r="AE13">
        <f>IF(Summary!AO14&gt;20,1,0)</f>
        <v>1</v>
      </c>
      <c r="AF13">
        <f>IF(Summary!AP14&gt;20,1,0)</f>
        <v>1</v>
      </c>
      <c r="AG13">
        <f>IF(Summary!AQ14&gt;20,1,0)</f>
        <v>1</v>
      </c>
      <c r="AH13">
        <f>IF(Summary!AR14&gt;20,1,0)</f>
        <v>1</v>
      </c>
      <c r="AI13">
        <f>IF(Summary!AS14&gt;20,1,0)</f>
        <v>1</v>
      </c>
      <c r="AJ13">
        <f>IF(Summary!AT14&gt;20,1,0)</f>
        <v>1</v>
      </c>
      <c r="AK13">
        <f>IF(Summary!AU14&gt;20,1,0)</f>
        <v>1</v>
      </c>
      <c r="AL13">
        <f>IF(Summary!AV14&gt;20,1,0)</f>
        <v>1</v>
      </c>
      <c r="AM13">
        <f>IF(Summary!AW14&gt;20,1,0)</f>
        <v>1</v>
      </c>
      <c r="AO13">
        <v>12</v>
      </c>
      <c r="AP13">
        <f t="shared" si="0"/>
        <v>35</v>
      </c>
      <c r="AQ13">
        <f t="shared" si="1"/>
        <v>1587</v>
      </c>
      <c r="AS13">
        <f>B13*Summary!L14</f>
        <v>54</v>
      </c>
      <c r="AT13">
        <f>C13*Summary!M14</f>
        <v>42</v>
      </c>
      <c r="AU13">
        <f>D13*Summary!N14</f>
        <v>0</v>
      </c>
      <c r="AV13">
        <f>E13*Summary!O14</f>
        <v>50</v>
      </c>
      <c r="AW13">
        <f>F13*Summary!P14</f>
        <v>0</v>
      </c>
      <c r="AX13">
        <f>G13*Summary!Q14</f>
        <v>29</v>
      </c>
      <c r="AY13">
        <f>H13*Summary!R14</f>
        <v>52</v>
      </c>
      <c r="AZ13">
        <f>I13*Summary!S14</f>
        <v>43</v>
      </c>
      <c r="BA13">
        <f>J13*Summary!T14</f>
        <v>60</v>
      </c>
      <c r="BB13">
        <f>K13*Summary!U14</f>
        <v>42</v>
      </c>
      <c r="BC13">
        <f>L13*Summary!V14</f>
        <v>22</v>
      </c>
      <c r="BD13">
        <f>M13*Summary!W14</f>
        <v>44</v>
      </c>
      <c r="BE13">
        <f>N13*Summary!X14</f>
        <v>42</v>
      </c>
      <c r="BF13">
        <f>O13*Summary!Y14</f>
        <v>49</v>
      </c>
      <c r="BG13">
        <f>P13*Summary!Z14</f>
        <v>52</v>
      </c>
      <c r="BH13">
        <f>Q13*Summary!AA14</f>
        <v>44</v>
      </c>
      <c r="BI13">
        <f>R13*Summary!AB14</f>
        <v>45</v>
      </c>
      <c r="BJ13">
        <f>S13*Summary!AC14</f>
        <v>0</v>
      </c>
      <c r="BK13">
        <f>T13*Summary!AD14</f>
        <v>47</v>
      </c>
      <c r="BL13">
        <f>U13*Summary!AE14</f>
        <v>40</v>
      </c>
      <c r="BM13">
        <f>V13*Summary!AF14</f>
        <v>41</v>
      </c>
      <c r="BN13">
        <f>W13*Summary!AG14</f>
        <v>44</v>
      </c>
      <c r="BO13">
        <f>X13*Summary!AH14</f>
        <v>47</v>
      </c>
      <c r="BP13">
        <f>Y13*Summary!AI14</f>
        <v>44</v>
      </c>
      <c r="BQ13">
        <f>Z13*Summary!AJ14</f>
        <v>50</v>
      </c>
      <c r="BR13">
        <f>AA13*Summary!AK14</f>
        <v>48</v>
      </c>
      <c r="BS13">
        <f>AB13*Summary!AL14</f>
        <v>45</v>
      </c>
      <c r="BT13">
        <f>AC13*Summary!AM14</f>
        <v>42</v>
      </c>
      <c r="BU13">
        <f>AD13*Summary!AN14</f>
        <v>44</v>
      </c>
      <c r="BV13">
        <f>AE13*Summary!AO14</f>
        <v>50</v>
      </c>
      <c r="BW13">
        <f>AF13*Summary!AP14</f>
        <v>48</v>
      </c>
      <c r="BX13">
        <f>AG13*Summary!AQ14</f>
        <v>41</v>
      </c>
      <c r="BY13">
        <f>AH13*Summary!AR14</f>
        <v>46</v>
      </c>
      <c r="BZ13">
        <f>AI13*Summary!AS14</f>
        <v>52</v>
      </c>
      <c r="CA13">
        <f>AJ13*Summary!AT14</f>
        <v>48</v>
      </c>
      <c r="CB13">
        <f>AK13*Summary!AU14</f>
        <v>42</v>
      </c>
      <c r="CC13">
        <f>AL13*Summary!AV14</f>
        <v>49</v>
      </c>
      <c r="CD13">
        <f>AM13*Summary!AW14</f>
        <v>49</v>
      </c>
    </row>
    <row r="14" spans="1:82" x14ac:dyDescent="0.25">
      <c r="A14">
        <v>13</v>
      </c>
      <c r="B14">
        <f>IF(Summary!L15&gt;20,1,0)</f>
        <v>1</v>
      </c>
      <c r="C14">
        <f>IF(Summary!M15&gt;20,1,0)</f>
        <v>1</v>
      </c>
      <c r="D14">
        <f>IF(Summary!N15&gt;20,1,0)</f>
        <v>0</v>
      </c>
      <c r="E14">
        <f>IF(Summary!O15&gt;20,1,0)</f>
        <v>1</v>
      </c>
      <c r="F14">
        <f>IF(Summary!P15&gt;20,1,0)</f>
        <v>1</v>
      </c>
      <c r="G14">
        <f>IF(Summary!Q15&gt;20,1,0)</f>
        <v>1</v>
      </c>
      <c r="H14">
        <f>IF(Summary!R15&gt;20,1,0)</f>
        <v>1</v>
      </c>
      <c r="I14">
        <f>IF(Summary!S15&gt;20,1,0)</f>
        <v>1</v>
      </c>
      <c r="J14">
        <f>IF(Summary!T15&gt;20,1,0)</f>
        <v>1</v>
      </c>
      <c r="K14">
        <f>IF(Summary!U15&gt;20,1,0)</f>
        <v>1</v>
      </c>
      <c r="L14">
        <f>IF(Summary!V15&gt;20,1,0)</f>
        <v>1</v>
      </c>
      <c r="M14">
        <f>IF(Summary!W15&gt;20,1,0)</f>
        <v>1</v>
      </c>
      <c r="N14">
        <f>IF(Summary!X15&gt;20,1,0)</f>
        <v>1</v>
      </c>
      <c r="O14">
        <f>IF(Summary!Y15&gt;20,1,0)</f>
        <v>1</v>
      </c>
      <c r="P14">
        <f>IF(Summary!Z15&gt;20,1,0)</f>
        <v>1</v>
      </c>
      <c r="Q14">
        <f>IF(Summary!AA15&gt;20,1,0)</f>
        <v>1</v>
      </c>
      <c r="R14">
        <f>IF(Summary!AB15&gt;20,1,0)</f>
        <v>1</v>
      </c>
      <c r="S14">
        <f>IF(Summary!AC15&gt;20,1,0)</f>
        <v>0</v>
      </c>
      <c r="T14">
        <f>IF(Summary!AD15&gt;20,1,0)</f>
        <v>1</v>
      </c>
      <c r="U14">
        <f>IF(Summary!AE15&gt;20,1,0)</f>
        <v>1</v>
      </c>
      <c r="V14">
        <f>IF(Summary!AF15&gt;20,1,0)</f>
        <v>1</v>
      </c>
      <c r="W14">
        <f>IF(Summary!AG15&gt;20,1,0)</f>
        <v>1</v>
      </c>
      <c r="X14">
        <f>IF(Summary!AH15&gt;20,1,0)</f>
        <v>1</v>
      </c>
      <c r="Y14">
        <f>IF(Summary!AI15&gt;20,1,0)</f>
        <v>1</v>
      </c>
      <c r="Z14">
        <f>IF(Summary!AJ15&gt;20,1,0)</f>
        <v>1</v>
      </c>
      <c r="AA14">
        <f>IF(Summary!AK15&gt;20,1,0)</f>
        <v>1</v>
      </c>
      <c r="AB14">
        <f>IF(Summary!AL15&gt;20,1,0)</f>
        <v>1</v>
      </c>
      <c r="AC14">
        <f>IF(Summary!AM15&gt;20,1,0)</f>
        <v>1</v>
      </c>
      <c r="AD14">
        <f>IF(Summary!AN15&gt;20,1,0)</f>
        <v>1</v>
      </c>
      <c r="AE14">
        <f>IF(Summary!AO15&gt;20,1,0)</f>
        <v>1</v>
      </c>
      <c r="AF14">
        <f>IF(Summary!AP15&gt;20,1,0)</f>
        <v>1</v>
      </c>
      <c r="AG14">
        <f>IF(Summary!AQ15&gt;20,1,0)</f>
        <v>1</v>
      </c>
      <c r="AH14">
        <f>IF(Summary!AR15&gt;20,1,0)</f>
        <v>1</v>
      </c>
      <c r="AI14">
        <f>IF(Summary!AS15&gt;20,1,0)</f>
        <v>1</v>
      </c>
      <c r="AJ14">
        <f>IF(Summary!AT15&gt;20,1,0)</f>
        <v>1</v>
      </c>
      <c r="AK14">
        <f>IF(Summary!AU15&gt;20,1,0)</f>
        <v>1</v>
      </c>
      <c r="AL14">
        <f>IF(Summary!AV15&gt;20,1,0)</f>
        <v>1</v>
      </c>
      <c r="AM14">
        <f>IF(Summary!AW15&gt;20,1,0)</f>
        <v>1</v>
      </c>
      <c r="AO14">
        <v>13</v>
      </c>
      <c r="AP14">
        <f t="shared" si="0"/>
        <v>36</v>
      </c>
      <c r="AQ14">
        <f t="shared" si="1"/>
        <v>1690</v>
      </c>
      <c r="AS14">
        <f>B14*Summary!L15</f>
        <v>43</v>
      </c>
      <c r="AT14">
        <f>C14*Summary!M15</f>
        <v>39</v>
      </c>
      <c r="AU14">
        <f>D14*Summary!N15</f>
        <v>0</v>
      </c>
      <c r="AV14">
        <f>E14*Summary!O15</f>
        <v>52</v>
      </c>
      <c r="AW14">
        <f>F14*Summary!P15</f>
        <v>23</v>
      </c>
      <c r="AX14">
        <f>G14*Summary!Q15</f>
        <v>43</v>
      </c>
      <c r="AY14">
        <f>H14*Summary!R15</f>
        <v>52</v>
      </c>
      <c r="AZ14">
        <f>I14*Summary!S15</f>
        <v>52</v>
      </c>
      <c r="BA14">
        <f>J14*Summary!T15</f>
        <v>56</v>
      </c>
      <c r="BB14">
        <f>K14*Summary!U15</f>
        <v>45</v>
      </c>
      <c r="BC14">
        <f>L14*Summary!V15</f>
        <v>34</v>
      </c>
      <c r="BD14">
        <f>M14*Summary!W15</f>
        <v>49</v>
      </c>
      <c r="BE14">
        <f>N14*Summary!X15</f>
        <v>44</v>
      </c>
      <c r="BF14">
        <f>O14*Summary!Y15</f>
        <v>51</v>
      </c>
      <c r="BG14">
        <f>P14*Summary!Z15</f>
        <v>51</v>
      </c>
      <c r="BH14">
        <f>Q14*Summary!AA15</f>
        <v>50</v>
      </c>
      <c r="BI14">
        <f>R14*Summary!AB15</f>
        <v>52</v>
      </c>
      <c r="BJ14">
        <f>S14*Summary!AC15</f>
        <v>0</v>
      </c>
      <c r="BK14">
        <f>T14*Summary!AD15</f>
        <v>52</v>
      </c>
      <c r="BL14">
        <f>U14*Summary!AE15</f>
        <v>43</v>
      </c>
      <c r="BM14">
        <f>V14*Summary!AF15</f>
        <v>48</v>
      </c>
      <c r="BN14">
        <f>W14*Summary!AG15</f>
        <v>44</v>
      </c>
      <c r="BO14">
        <f>X14*Summary!AH15</f>
        <v>51</v>
      </c>
      <c r="BP14">
        <f>Y14*Summary!AI15</f>
        <v>48</v>
      </c>
      <c r="BQ14">
        <f>Z14*Summary!AJ15</f>
        <v>56</v>
      </c>
      <c r="BR14">
        <f>AA14*Summary!AK15</f>
        <v>54</v>
      </c>
      <c r="BS14">
        <f>AB14*Summary!AL15</f>
        <v>51</v>
      </c>
      <c r="BT14">
        <f>AC14*Summary!AM15</f>
        <v>45</v>
      </c>
      <c r="BU14">
        <f>AD14*Summary!AN15</f>
        <v>48</v>
      </c>
      <c r="BV14">
        <f>AE14*Summary!AO15</f>
        <v>52</v>
      </c>
      <c r="BW14">
        <f>AF14*Summary!AP15</f>
        <v>51</v>
      </c>
      <c r="BX14">
        <f>AG14*Summary!AQ15</f>
        <v>35</v>
      </c>
      <c r="BY14">
        <f>AH14*Summary!AR15</f>
        <v>51</v>
      </c>
      <c r="BZ14">
        <f>AI14*Summary!AS15</f>
        <v>45</v>
      </c>
      <c r="CA14">
        <f>AJ14*Summary!AT15</f>
        <v>51</v>
      </c>
      <c r="CB14">
        <f>AK14*Summary!AU15</f>
        <v>35</v>
      </c>
      <c r="CC14">
        <f>AL14*Summary!AV15</f>
        <v>45</v>
      </c>
      <c r="CD14">
        <f>AM14*Summary!AW15</f>
        <v>49</v>
      </c>
    </row>
    <row r="15" spans="1:82" x14ac:dyDescent="0.25">
      <c r="A15">
        <v>14</v>
      </c>
      <c r="B15">
        <f>IF(Summary!L16&gt;20,1,0)</f>
        <v>1</v>
      </c>
      <c r="C15">
        <f>IF(Summary!M16&gt;20,1,0)</f>
        <v>1</v>
      </c>
      <c r="D15">
        <v>0</v>
      </c>
      <c r="E15">
        <f>IF(Summary!O16&gt;20,1,0)</f>
        <v>1</v>
      </c>
      <c r="F15">
        <f>IF(Summary!P16&gt;20,1,0)</f>
        <v>1</v>
      </c>
      <c r="G15">
        <f>IF(Summary!Q16&gt;20,1,0)</f>
        <v>1</v>
      </c>
      <c r="H15">
        <f>IF(Summary!R16&gt;20,1,0)</f>
        <v>1</v>
      </c>
      <c r="I15">
        <f>IF(Summary!S16&gt;20,1,0)</f>
        <v>1</v>
      </c>
      <c r="J15">
        <f>IF(Summary!T16&gt;20,1,0)</f>
        <v>1</v>
      </c>
      <c r="K15">
        <f>IF(Summary!U16&gt;20,1,0)</f>
        <v>1</v>
      </c>
      <c r="L15">
        <f>IF(Summary!V16&gt;20,1,0)</f>
        <v>1</v>
      </c>
      <c r="M15">
        <f>IF(Summary!W16&gt;20,1,0)</f>
        <v>1</v>
      </c>
      <c r="N15">
        <f>IF(Summary!X16&gt;20,1,0)</f>
        <v>1</v>
      </c>
      <c r="O15">
        <f>IF(Summary!Y16&gt;20,1,0)</f>
        <v>1</v>
      </c>
      <c r="P15">
        <f>IF(Summary!Z16&gt;20,1,0)</f>
        <v>1</v>
      </c>
      <c r="Q15">
        <f>IF(Summary!AA16&gt;20,1,0)</f>
        <v>1</v>
      </c>
      <c r="R15">
        <f>IF(Summary!AB16&gt;20,1,0)</f>
        <v>1</v>
      </c>
      <c r="S15">
        <f>IF(Summary!AC16&gt;20,1,0)</f>
        <v>0</v>
      </c>
      <c r="T15">
        <f>IF(Summary!AD16&gt;20,1,0)</f>
        <v>1</v>
      </c>
      <c r="U15">
        <f>IF(Summary!AE16&gt;20,1,0)</f>
        <v>1</v>
      </c>
      <c r="V15">
        <f>IF(Summary!AF16&gt;20,1,0)</f>
        <v>1</v>
      </c>
      <c r="W15">
        <f>IF(Summary!AG16&gt;20,1,0)</f>
        <v>1</v>
      </c>
      <c r="X15">
        <f>IF(Summary!AH16&gt;20,1,0)</f>
        <v>1</v>
      </c>
      <c r="Y15">
        <f>IF(Summary!AI16&gt;20,1,0)</f>
        <v>1</v>
      </c>
      <c r="Z15">
        <f>IF(Summary!AJ16&gt;20,1,0)</f>
        <v>1</v>
      </c>
      <c r="AA15">
        <f>IF(Summary!AK16&gt;20,1,0)</f>
        <v>1</v>
      </c>
      <c r="AB15">
        <f>IF(Summary!AL16&gt;20,1,0)</f>
        <v>1</v>
      </c>
      <c r="AC15">
        <f>IF(Summary!AM16&gt;20,1,0)</f>
        <v>1</v>
      </c>
      <c r="AD15">
        <f>IF(Summary!AN16&gt;20,1,0)</f>
        <v>1</v>
      </c>
      <c r="AE15">
        <f>IF(Summary!AO16&gt;20,1,0)</f>
        <v>1</v>
      </c>
      <c r="AF15">
        <f>IF(Summary!AP16&gt;20,1,0)</f>
        <v>1</v>
      </c>
      <c r="AG15">
        <f>IF(Summary!AQ16&gt;20,1,0)</f>
        <v>1</v>
      </c>
      <c r="AH15">
        <f>IF(Summary!AR16&gt;20,1,0)</f>
        <v>1</v>
      </c>
      <c r="AI15">
        <f>IF(Summary!AS16&gt;20,1,0)</f>
        <v>1</v>
      </c>
      <c r="AJ15">
        <f>IF(Summary!AT16&gt;20,1,0)</f>
        <v>1</v>
      </c>
      <c r="AK15">
        <f>IF(Summary!AU16&gt;20,1,0)</f>
        <v>1</v>
      </c>
      <c r="AL15">
        <f>IF(Summary!AV16&gt;20,1,0)</f>
        <v>1</v>
      </c>
      <c r="AM15">
        <f>IF(Summary!AW16&gt;20,1,0)</f>
        <v>1</v>
      </c>
      <c r="AO15">
        <v>14</v>
      </c>
      <c r="AP15">
        <f t="shared" si="0"/>
        <v>36</v>
      </c>
      <c r="AQ15">
        <f t="shared" si="1"/>
        <v>1576</v>
      </c>
      <c r="AS15">
        <f>B15*Summary!L16</f>
        <v>52</v>
      </c>
      <c r="AT15">
        <f>C15*Summary!M16</f>
        <v>29</v>
      </c>
      <c r="AU15">
        <f>D15*Summary!N16</f>
        <v>0</v>
      </c>
      <c r="AV15">
        <f>E15*Summary!O16</f>
        <v>46</v>
      </c>
      <c r="AW15">
        <f>F15*Summary!P16</f>
        <v>25</v>
      </c>
      <c r="AX15">
        <f>G15*Summary!Q16</f>
        <v>44</v>
      </c>
      <c r="AY15">
        <f>H15*Summary!R16</f>
        <v>44</v>
      </c>
      <c r="AZ15">
        <f>I15*Summary!S16</f>
        <v>43</v>
      </c>
      <c r="BA15">
        <f>J15*Summary!T16</f>
        <v>56</v>
      </c>
      <c r="BB15">
        <f>K15*Summary!U16</f>
        <v>46</v>
      </c>
      <c r="BC15">
        <f>L15*Summary!V16</f>
        <v>40</v>
      </c>
      <c r="BD15">
        <f>M15*Summary!W16</f>
        <v>48</v>
      </c>
      <c r="BE15">
        <f>N15*Summary!X16</f>
        <v>41</v>
      </c>
      <c r="BF15">
        <f>O15*Summary!Y16</f>
        <v>47</v>
      </c>
      <c r="BG15">
        <f>P15*Summary!Z16</f>
        <v>50</v>
      </c>
      <c r="BH15">
        <f>Q15*Summary!AA16</f>
        <v>45</v>
      </c>
      <c r="BI15">
        <f>R15*Summary!AB16</f>
        <v>46</v>
      </c>
      <c r="BJ15">
        <f>S15*Summary!AC16</f>
        <v>0</v>
      </c>
      <c r="BK15">
        <f>T15*Summary!AD16</f>
        <v>45</v>
      </c>
      <c r="BL15">
        <f>U15*Summary!AE16</f>
        <v>48</v>
      </c>
      <c r="BM15">
        <f>V15*Summary!AF16</f>
        <v>44</v>
      </c>
      <c r="BN15">
        <f>W15*Summary!AG16</f>
        <v>35</v>
      </c>
      <c r="BO15">
        <f>X15*Summary!AH16</f>
        <v>48</v>
      </c>
      <c r="BP15">
        <f>Y15*Summary!AI16</f>
        <v>41</v>
      </c>
      <c r="BQ15">
        <f>Z15*Summary!AJ16</f>
        <v>44</v>
      </c>
      <c r="BR15">
        <f>AA15*Summary!AK16</f>
        <v>45</v>
      </c>
      <c r="BS15">
        <f>AB15*Summary!AL16</f>
        <v>50</v>
      </c>
      <c r="BT15">
        <f>AC15*Summary!AM16</f>
        <v>39</v>
      </c>
      <c r="BU15">
        <f>AD15*Summary!AN16</f>
        <v>47</v>
      </c>
      <c r="BV15">
        <f>AE15*Summary!AO16</f>
        <v>47</v>
      </c>
      <c r="BW15">
        <f>AF15*Summary!AP16</f>
        <v>44</v>
      </c>
      <c r="BX15">
        <f>AG15*Summary!AQ16</f>
        <v>41</v>
      </c>
      <c r="BY15">
        <f>AH15*Summary!AR16</f>
        <v>49</v>
      </c>
      <c r="BZ15">
        <f>AI15*Summary!AS16</f>
        <v>45</v>
      </c>
      <c r="CA15">
        <f>AJ15*Summary!AT16</f>
        <v>40</v>
      </c>
      <c r="CB15">
        <f>AK15*Summary!AU16</f>
        <v>38</v>
      </c>
      <c r="CC15">
        <f>AL15*Summary!AV16</f>
        <v>40</v>
      </c>
      <c r="CD15">
        <f>AM15*Summary!AW16</f>
        <v>44</v>
      </c>
    </row>
    <row r="16" spans="1:82" x14ac:dyDescent="0.25">
      <c r="A16">
        <v>15</v>
      </c>
      <c r="B16">
        <f>IF(Summary!L17&gt;20,1,0)</f>
        <v>1</v>
      </c>
      <c r="C16">
        <f>IF(Summary!M17&gt;20,1,0)</f>
        <v>1</v>
      </c>
      <c r="D16">
        <f>IF(Summary!N17&gt;20,1,0)</f>
        <v>0</v>
      </c>
      <c r="E16">
        <f>IF(Summary!O17&gt;20,1,0)</f>
        <v>1</v>
      </c>
      <c r="F16">
        <f>IF(Summary!P17&gt;20,1,0)</f>
        <v>1</v>
      </c>
      <c r="G16">
        <f>IF(Summary!Q17&gt;20,1,0)</f>
        <v>1</v>
      </c>
      <c r="H16">
        <f>IF(Summary!R17&gt;20,1,0)</f>
        <v>1</v>
      </c>
      <c r="I16">
        <f>IF(Summary!S17&gt;20,1,0)</f>
        <v>1</v>
      </c>
      <c r="J16">
        <f>IF(Summary!T17&gt;20,1,0)</f>
        <v>1</v>
      </c>
      <c r="K16">
        <f>IF(Summary!U17&gt;20,1,0)</f>
        <v>1</v>
      </c>
      <c r="L16">
        <f>IF(Summary!V17&gt;20,1,0)</f>
        <v>1</v>
      </c>
      <c r="M16">
        <f>IF(Summary!W17&gt;20,1,0)</f>
        <v>1</v>
      </c>
      <c r="N16">
        <f>IF(Summary!X17&gt;20,1,0)</f>
        <v>1</v>
      </c>
      <c r="O16">
        <f>IF(Summary!Y17&gt;20,1,0)</f>
        <v>1</v>
      </c>
      <c r="P16">
        <f>IF(Summary!Z17&gt;20,1,0)</f>
        <v>1</v>
      </c>
      <c r="Q16">
        <f>IF(Summary!AA17&gt;20,1,0)</f>
        <v>1</v>
      </c>
      <c r="R16">
        <f>IF(Summary!AB17&gt;20,1,0)</f>
        <v>1</v>
      </c>
      <c r="S16">
        <f>IF(Summary!AC17&gt;20,1,0)</f>
        <v>0</v>
      </c>
      <c r="T16">
        <f>IF(Summary!AD17&gt;20,1,0)</f>
        <v>1</v>
      </c>
      <c r="U16">
        <f>IF(Summary!AE17&gt;20,1,0)</f>
        <v>1</v>
      </c>
      <c r="V16">
        <f>IF(Summary!AF17&gt;20,1,0)</f>
        <v>1</v>
      </c>
      <c r="W16">
        <f>IF(Summary!AG17&gt;20,1,0)</f>
        <v>1</v>
      </c>
      <c r="X16">
        <f>IF(Summary!AH17&gt;20,1,0)</f>
        <v>1</v>
      </c>
      <c r="Y16">
        <f>IF(Summary!AI17&gt;20,1,0)</f>
        <v>1</v>
      </c>
      <c r="Z16">
        <f>IF(Summary!AJ17&gt;20,1,0)</f>
        <v>1</v>
      </c>
      <c r="AA16">
        <f>IF(Summary!AK17&gt;20,1,0)</f>
        <v>1</v>
      </c>
      <c r="AB16">
        <f>IF(Summary!AL17&gt;20,1,0)</f>
        <v>1</v>
      </c>
      <c r="AC16">
        <f>IF(Summary!AM17&gt;20,1,0)</f>
        <v>1</v>
      </c>
      <c r="AD16">
        <f>IF(Summary!AN17&gt;20,1,0)</f>
        <v>1</v>
      </c>
      <c r="AE16">
        <f>IF(Summary!AO17&gt;20,1,0)</f>
        <v>1</v>
      </c>
      <c r="AF16">
        <f>IF(Summary!AP17&gt;20,1,0)</f>
        <v>1</v>
      </c>
      <c r="AG16">
        <f>IF(Summary!AQ17&gt;20,1,0)</f>
        <v>1</v>
      </c>
      <c r="AH16">
        <f>IF(Summary!AR17&gt;20,1,0)</f>
        <v>1</v>
      </c>
      <c r="AI16">
        <f>IF(Summary!AS17&gt;20,1,0)</f>
        <v>1</v>
      </c>
      <c r="AJ16">
        <f>IF(Summary!AT17&gt;20,1,0)</f>
        <v>1</v>
      </c>
      <c r="AK16">
        <f>IF(Summary!AU17&gt;20,1,0)</f>
        <v>1</v>
      </c>
      <c r="AL16">
        <f>IF(Summary!AV17&gt;20,1,0)</f>
        <v>1</v>
      </c>
      <c r="AM16">
        <f>IF(Summary!AW17&gt;20,1,0)</f>
        <v>1</v>
      </c>
      <c r="AO16">
        <v>15</v>
      </c>
      <c r="AP16">
        <f t="shared" si="0"/>
        <v>36</v>
      </c>
      <c r="AQ16">
        <f t="shared" si="1"/>
        <v>1625</v>
      </c>
      <c r="AS16">
        <f>B16*Summary!L17</f>
        <v>53</v>
      </c>
      <c r="AT16">
        <f>C16*Summary!M17</f>
        <v>41</v>
      </c>
      <c r="AU16">
        <f>D16*Summary!N17</f>
        <v>0</v>
      </c>
      <c r="AV16">
        <f>E16*Summary!O17</f>
        <v>46</v>
      </c>
      <c r="AW16">
        <f>F16*Summary!P17</f>
        <v>29</v>
      </c>
      <c r="AX16">
        <f>G16*Summary!Q17</f>
        <v>39</v>
      </c>
      <c r="AY16">
        <f>H16*Summary!R17</f>
        <v>55</v>
      </c>
      <c r="AZ16">
        <f>I16*Summary!S17</f>
        <v>36</v>
      </c>
      <c r="BA16">
        <f>J16*Summary!T17</f>
        <v>51</v>
      </c>
      <c r="BB16">
        <f>K16*Summary!U17</f>
        <v>45</v>
      </c>
      <c r="BC16">
        <f>L16*Summary!V17</f>
        <v>44</v>
      </c>
      <c r="BD16">
        <f>M16*Summary!W17</f>
        <v>48</v>
      </c>
      <c r="BE16">
        <f>N16*Summary!X17</f>
        <v>41</v>
      </c>
      <c r="BF16">
        <f>O16*Summary!Y17</f>
        <v>48</v>
      </c>
      <c r="BG16">
        <f>P16*Summary!Z17</f>
        <v>53</v>
      </c>
      <c r="BH16">
        <f>Q16*Summary!AA17</f>
        <v>43</v>
      </c>
      <c r="BI16">
        <f>R16*Summary!AB17</f>
        <v>53</v>
      </c>
      <c r="BJ16">
        <f>S16*Summary!AC17</f>
        <v>0</v>
      </c>
      <c r="BK16">
        <f>T16*Summary!AD17</f>
        <v>46</v>
      </c>
      <c r="BL16">
        <f>U16*Summary!AE17</f>
        <v>41</v>
      </c>
      <c r="BM16">
        <f>V16*Summary!AF17</f>
        <v>39</v>
      </c>
      <c r="BN16">
        <f>W16*Summary!AG17</f>
        <v>46</v>
      </c>
      <c r="BO16">
        <f>X16*Summary!AH17</f>
        <v>44</v>
      </c>
      <c r="BP16">
        <f>Y16*Summary!AI17</f>
        <v>53</v>
      </c>
      <c r="BQ16">
        <f>Z16*Summary!AJ17</f>
        <v>43</v>
      </c>
      <c r="BR16">
        <f>AA16*Summary!AK17</f>
        <v>47</v>
      </c>
      <c r="BS16">
        <f>AB16*Summary!AL17</f>
        <v>51</v>
      </c>
      <c r="BT16">
        <f>AC16*Summary!AM17</f>
        <v>43</v>
      </c>
      <c r="BU16">
        <f>AD16*Summary!AN17</f>
        <v>50</v>
      </c>
      <c r="BV16">
        <f>AE16*Summary!AO17</f>
        <v>50</v>
      </c>
      <c r="BW16">
        <f>AF16*Summary!AP17</f>
        <v>47</v>
      </c>
      <c r="BX16">
        <f>AG16*Summary!AQ17</f>
        <v>23</v>
      </c>
      <c r="BY16">
        <f>AH16*Summary!AR17</f>
        <v>52</v>
      </c>
      <c r="BZ16">
        <f>AI16*Summary!AS17</f>
        <v>43</v>
      </c>
      <c r="CA16">
        <f>AJ16*Summary!AT17</f>
        <v>48</v>
      </c>
      <c r="CB16">
        <f>AK16*Summary!AU17</f>
        <v>43</v>
      </c>
      <c r="CC16">
        <f>AL16*Summary!AV17</f>
        <v>45</v>
      </c>
      <c r="CD16">
        <f>AM16*Summary!AW17</f>
        <v>46</v>
      </c>
    </row>
    <row r="17" spans="1:82" x14ac:dyDescent="0.25">
      <c r="A17">
        <v>16</v>
      </c>
      <c r="B17">
        <f>IF(Summary!L18&gt;20,1,0)</f>
        <v>1</v>
      </c>
      <c r="C17">
        <f>IF(Summary!M18&gt;20,1,0)</f>
        <v>1</v>
      </c>
      <c r="D17">
        <f>IF(Summary!N18&gt;20,1,0)</f>
        <v>0</v>
      </c>
      <c r="E17">
        <f>IF(Summary!O18&gt;20,1,0)</f>
        <v>1</v>
      </c>
      <c r="F17">
        <f>IF(Summary!P18&gt;20,1,0)</f>
        <v>0</v>
      </c>
      <c r="G17">
        <f>IF(Summary!Q18&gt;20,1,0)</f>
        <v>1</v>
      </c>
      <c r="H17">
        <f>IF(Summary!R18&gt;20,1,0)</f>
        <v>1</v>
      </c>
      <c r="I17">
        <f>IF(Summary!S18&gt;20,1,0)</f>
        <v>1</v>
      </c>
      <c r="J17">
        <f>IF(Summary!T18&gt;20,1,0)</f>
        <v>1</v>
      </c>
      <c r="K17">
        <f>IF(Summary!U18&gt;20,1,0)</f>
        <v>1</v>
      </c>
      <c r="L17">
        <f>IF(Summary!V18&gt;20,1,0)</f>
        <v>1</v>
      </c>
      <c r="M17">
        <f>IF(Summary!W18&gt;20,1,0)</f>
        <v>1</v>
      </c>
      <c r="N17">
        <f>IF(Summary!X18&gt;20,1,0)</f>
        <v>1</v>
      </c>
      <c r="O17">
        <f>IF(Summary!Y18&gt;20,1,0)</f>
        <v>1</v>
      </c>
      <c r="P17">
        <f>IF(Summary!Z18&gt;20,1,0)</f>
        <v>1</v>
      </c>
      <c r="Q17">
        <f>IF(Summary!AA18&gt;20,1,0)</f>
        <v>1</v>
      </c>
      <c r="R17">
        <f>IF(Summary!AB18&gt;20,1,0)</f>
        <v>1</v>
      </c>
      <c r="S17">
        <f>IF(Summary!AC18&gt;20,1,0)</f>
        <v>0</v>
      </c>
      <c r="T17">
        <f>IF(Summary!AD18&gt;20,1,0)</f>
        <v>1</v>
      </c>
      <c r="U17">
        <f>IF(Summary!AE18&gt;20,1,0)</f>
        <v>1</v>
      </c>
      <c r="V17">
        <f>IF(Summary!AF18&gt;20,1,0)</f>
        <v>1</v>
      </c>
      <c r="W17">
        <f>IF(Summary!AG18&gt;20,1,0)</f>
        <v>1</v>
      </c>
      <c r="X17">
        <f>IF(Summary!AH18&gt;20,1,0)</f>
        <v>1</v>
      </c>
      <c r="Y17">
        <f>IF(Summary!AI18&gt;20,1,0)</f>
        <v>1</v>
      </c>
      <c r="Z17">
        <f>IF(Summary!AJ18&gt;20,1,0)</f>
        <v>1</v>
      </c>
      <c r="AA17">
        <f>IF(Summary!AK18&gt;20,1,0)</f>
        <v>1</v>
      </c>
      <c r="AB17">
        <f>IF(Summary!AL18&gt;20,1,0)</f>
        <v>1</v>
      </c>
      <c r="AC17">
        <f>IF(Summary!AM18&gt;20,1,0)</f>
        <v>1</v>
      </c>
      <c r="AD17">
        <f>IF(Summary!AN18&gt;20,1,0)</f>
        <v>1</v>
      </c>
      <c r="AE17">
        <f>IF(Summary!AO18&gt;20,1,0)</f>
        <v>1</v>
      </c>
      <c r="AF17">
        <f>IF(Summary!AP18&gt;20,1,0)</f>
        <v>1</v>
      </c>
      <c r="AG17">
        <f>IF(Summary!AQ18&gt;20,1,0)</f>
        <v>1</v>
      </c>
      <c r="AH17">
        <f>IF(Summary!AR18&gt;20,1,0)</f>
        <v>1</v>
      </c>
      <c r="AI17">
        <f>IF(Summary!AS18&gt;20,1,0)</f>
        <v>1</v>
      </c>
      <c r="AJ17">
        <f>IF(Summary!AT18&gt;20,1,0)</f>
        <v>1</v>
      </c>
      <c r="AK17">
        <f>IF(Summary!AU18&gt;20,1,0)</f>
        <v>1</v>
      </c>
      <c r="AL17">
        <f>IF(Summary!AV18&gt;20,1,0)</f>
        <v>1</v>
      </c>
      <c r="AM17">
        <f>IF(Summary!AW18&gt;20,1,0)</f>
        <v>1</v>
      </c>
      <c r="AO17">
        <v>16</v>
      </c>
      <c r="AP17">
        <f t="shared" si="0"/>
        <v>35</v>
      </c>
      <c r="AQ17">
        <f t="shared" si="1"/>
        <v>1600</v>
      </c>
      <c r="AS17">
        <f>B17*Summary!L18</f>
        <v>48</v>
      </c>
      <c r="AT17">
        <f>C17*Summary!M18</f>
        <v>41</v>
      </c>
      <c r="AU17">
        <f>D17*Summary!N18</f>
        <v>0</v>
      </c>
      <c r="AV17">
        <f>E17*Summary!O18</f>
        <v>54</v>
      </c>
      <c r="AW17">
        <f>F17*Summary!P18</f>
        <v>0</v>
      </c>
      <c r="AX17">
        <f>G17*Summary!Q18</f>
        <v>50</v>
      </c>
      <c r="AY17">
        <f>H17*Summary!R18</f>
        <v>50</v>
      </c>
      <c r="AZ17">
        <f>I17*Summary!S18</f>
        <v>46</v>
      </c>
      <c r="BA17">
        <f>J17*Summary!T18</f>
        <v>50</v>
      </c>
      <c r="BB17">
        <f>K17*Summary!U18</f>
        <v>45</v>
      </c>
      <c r="BC17">
        <f>L17*Summary!V18</f>
        <v>39</v>
      </c>
      <c r="BD17">
        <f>M17*Summary!W18</f>
        <v>43</v>
      </c>
      <c r="BE17">
        <f>N17*Summary!X18</f>
        <v>46</v>
      </c>
      <c r="BF17">
        <f>O17*Summary!Y18</f>
        <v>47</v>
      </c>
      <c r="BG17">
        <f>P17*Summary!Z18</f>
        <v>56</v>
      </c>
      <c r="BH17">
        <f>Q17*Summary!AA18</f>
        <v>37</v>
      </c>
      <c r="BI17">
        <f>R17*Summary!AB18</f>
        <v>51</v>
      </c>
      <c r="BJ17">
        <f>S17*Summary!AC18</f>
        <v>0</v>
      </c>
      <c r="BK17">
        <f>T17*Summary!AD18</f>
        <v>42</v>
      </c>
      <c r="BL17">
        <f>U17*Summary!AE18</f>
        <v>41</v>
      </c>
      <c r="BM17">
        <f>V17*Summary!AF18</f>
        <v>42</v>
      </c>
      <c r="BN17">
        <f>W17*Summary!AG18</f>
        <v>43</v>
      </c>
      <c r="BO17">
        <f>X17*Summary!AH18</f>
        <v>52</v>
      </c>
      <c r="BP17">
        <f>Y17*Summary!AI18</f>
        <v>48</v>
      </c>
      <c r="BQ17">
        <f>Z17*Summary!AJ18</f>
        <v>46</v>
      </c>
      <c r="BR17">
        <f>AA17*Summary!AK18</f>
        <v>43</v>
      </c>
      <c r="BS17">
        <f>AB17*Summary!AL18</f>
        <v>55</v>
      </c>
      <c r="BT17">
        <f>AC17*Summary!AM18</f>
        <v>41</v>
      </c>
      <c r="BU17">
        <f>AD17*Summary!AN18</f>
        <v>51</v>
      </c>
      <c r="BV17">
        <f>AE17*Summary!AO18</f>
        <v>49</v>
      </c>
      <c r="BW17">
        <f>AF17*Summary!AP18</f>
        <v>48</v>
      </c>
      <c r="BX17">
        <f>AG17*Summary!AQ18</f>
        <v>30</v>
      </c>
      <c r="BY17">
        <f>AH17*Summary!AR18</f>
        <v>45</v>
      </c>
      <c r="BZ17">
        <f>AI17*Summary!AS18</f>
        <v>49</v>
      </c>
      <c r="CA17">
        <f>AJ17*Summary!AT18</f>
        <v>46</v>
      </c>
      <c r="CB17">
        <f>AK17*Summary!AU18</f>
        <v>47</v>
      </c>
      <c r="CC17">
        <f>AL17*Summary!AV18</f>
        <v>41</v>
      </c>
      <c r="CD17">
        <f>AM17*Summary!AW18</f>
        <v>38</v>
      </c>
    </row>
    <row r="18" spans="1:82" x14ac:dyDescent="0.25">
      <c r="A18">
        <v>17</v>
      </c>
      <c r="B18">
        <f>IF(Summary!L19&gt;20,1,0)</f>
        <v>1</v>
      </c>
      <c r="C18">
        <f>IF(Summary!M19&gt;20,1,0)</f>
        <v>1</v>
      </c>
      <c r="D18">
        <f>IF(Summary!N19&gt;20,1,0)</f>
        <v>0</v>
      </c>
      <c r="E18">
        <f>IF(Summary!O19&gt;20,1,0)</f>
        <v>1</v>
      </c>
      <c r="F18">
        <f>IF(Summary!P19&gt;20,1,0)</f>
        <v>1</v>
      </c>
      <c r="G18">
        <f>IF(Summary!Q19&gt;20,1,0)</f>
        <v>1</v>
      </c>
      <c r="H18">
        <f>IF(Summary!R19&gt;20,1,0)</f>
        <v>1</v>
      </c>
      <c r="I18">
        <f>IF(Summary!S19&gt;20,1,0)</f>
        <v>1</v>
      </c>
      <c r="J18">
        <f>IF(Summary!T19&gt;20,1,0)</f>
        <v>1</v>
      </c>
      <c r="K18">
        <f>IF(Summary!U19&gt;20,1,0)</f>
        <v>1</v>
      </c>
      <c r="L18">
        <f>IF(Summary!V19&gt;20,1,0)</f>
        <v>1</v>
      </c>
      <c r="M18">
        <f>IF(Summary!W19&gt;20,1,0)</f>
        <v>1</v>
      </c>
      <c r="N18">
        <f>IF(Summary!X19&gt;20,1,0)</f>
        <v>1</v>
      </c>
      <c r="O18">
        <f>IF(Summary!Y19&gt;20,1,0)</f>
        <v>1</v>
      </c>
      <c r="P18">
        <f>IF(Summary!Z19&gt;20,1,0)</f>
        <v>1</v>
      </c>
      <c r="Q18">
        <f>IF(Summary!AA19&gt;20,1,0)</f>
        <v>1</v>
      </c>
      <c r="R18">
        <f>IF(Summary!AB19&gt;20,1,0)</f>
        <v>1</v>
      </c>
      <c r="S18">
        <f>IF(Summary!AC19&gt;20,1,0)</f>
        <v>0</v>
      </c>
      <c r="T18">
        <f>IF(Summary!AD19&gt;20,1,0)</f>
        <v>1</v>
      </c>
      <c r="U18">
        <f>IF(Summary!AE19&gt;20,1,0)</f>
        <v>1</v>
      </c>
      <c r="V18">
        <f>IF(Summary!AF19&gt;20,1,0)</f>
        <v>1</v>
      </c>
      <c r="W18">
        <f>IF(Summary!AG19&gt;20,1,0)</f>
        <v>1</v>
      </c>
      <c r="X18">
        <f>IF(Summary!AH19&gt;20,1,0)</f>
        <v>1</v>
      </c>
      <c r="Y18">
        <f>IF(Summary!AI19&gt;20,1,0)</f>
        <v>1</v>
      </c>
      <c r="Z18">
        <f>IF(Summary!AJ19&gt;20,1,0)</f>
        <v>1</v>
      </c>
      <c r="AA18">
        <f>IF(Summary!AK19&gt;20,1,0)</f>
        <v>1</v>
      </c>
      <c r="AB18">
        <f>IF(Summary!AL19&gt;20,1,0)</f>
        <v>1</v>
      </c>
      <c r="AC18">
        <f>IF(Summary!AM19&gt;20,1,0)</f>
        <v>1</v>
      </c>
      <c r="AD18">
        <f>IF(Summary!AN19&gt;20,1,0)</f>
        <v>1</v>
      </c>
      <c r="AE18">
        <f>IF(Summary!AO19&gt;20,1,0)</f>
        <v>1</v>
      </c>
      <c r="AF18">
        <f>IF(Summary!AP19&gt;20,1,0)</f>
        <v>1</v>
      </c>
      <c r="AG18">
        <f>IF(Summary!AQ19&gt;20,1,0)</f>
        <v>1</v>
      </c>
      <c r="AH18">
        <f>IF(Summary!AR19&gt;20,1,0)</f>
        <v>1</v>
      </c>
      <c r="AI18">
        <f>IF(Summary!AS19&gt;20,1,0)</f>
        <v>1</v>
      </c>
      <c r="AJ18">
        <f>IF(Summary!AT19&gt;20,1,0)</f>
        <v>1</v>
      </c>
      <c r="AK18">
        <f>IF(Summary!AU19&gt;20,1,0)</f>
        <v>1</v>
      </c>
      <c r="AL18">
        <f>IF(Summary!AV19&gt;20,1,0)</f>
        <v>1</v>
      </c>
      <c r="AM18">
        <f>IF(Summary!AW19&gt;20,1,0)</f>
        <v>1</v>
      </c>
      <c r="AO18">
        <v>17</v>
      </c>
      <c r="AP18">
        <f t="shared" si="0"/>
        <v>36</v>
      </c>
      <c r="AQ18">
        <f t="shared" si="1"/>
        <v>1686</v>
      </c>
      <c r="AS18">
        <f>B18*Summary!L19</f>
        <v>56</v>
      </c>
      <c r="AT18">
        <f>C18*Summary!M19</f>
        <v>41</v>
      </c>
      <c r="AU18">
        <f>D18*Summary!N19</f>
        <v>0</v>
      </c>
      <c r="AV18">
        <f>E18*Summary!O19</f>
        <v>50</v>
      </c>
      <c r="AW18">
        <f>F18*Summary!P19</f>
        <v>29</v>
      </c>
      <c r="AX18">
        <f>G18*Summary!Q19</f>
        <v>44</v>
      </c>
      <c r="AY18">
        <f>H18*Summary!R19</f>
        <v>47</v>
      </c>
      <c r="AZ18">
        <f>I18*Summary!S19</f>
        <v>47</v>
      </c>
      <c r="BA18">
        <f>J18*Summary!T19</f>
        <v>54</v>
      </c>
      <c r="BB18">
        <f>K18*Summary!U19</f>
        <v>47</v>
      </c>
      <c r="BC18">
        <f>L18*Summary!V19</f>
        <v>46</v>
      </c>
      <c r="BD18">
        <f>M18*Summary!W19</f>
        <v>50</v>
      </c>
      <c r="BE18">
        <f>N18*Summary!X19</f>
        <v>43</v>
      </c>
      <c r="BF18">
        <f>O18*Summary!Y19</f>
        <v>50</v>
      </c>
      <c r="BG18">
        <f>P18*Summary!Z19</f>
        <v>55</v>
      </c>
      <c r="BH18">
        <f>Q18*Summary!AA19</f>
        <v>33</v>
      </c>
      <c r="BI18">
        <f>R18*Summary!AB19</f>
        <v>54</v>
      </c>
      <c r="BJ18">
        <f>S18*Summary!AC19</f>
        <v>0</v>
      </c>
      <c r="BK18">
        <f>T18*Summary!AD19</f>
        <v>45</v>
      </c>
      <c r="BL18">
        <f>U18*Summary!AE19</f>
        <v>48</v>
      </c>
      <c r="BM18">
        <f>V18*Summary!AF19</f>
        <v>50</v>
      </c>
      <c r="BN18">
        <f>W18*Summary!AG19</f>
        <v>49</v>
      </c>
      <c r="BO18">
        <f>X18*Summary!AH19</f>
        <v>50</v>
      </c>
      <c r="BP18">
        <f>Y18*Summary!AI19</f>
        <v>48</v>
      </c>
      <c r="BQ18">
        <f>Z18*Summary!AJ19</f>
        <v>47</v>
      </c>
      <c r="BR18">
        <f>AA18*Summary!AK19</f>
        <v>46</v>
      </c>
      <c r="BS18">
        <f>AB18*Summary!AL19</f>
        <v>49</v>
      </c>
      <c r="BT18">
        <f>AC18*Summary!AM19</f>
        <v>46</v>
      </c>
      <c r="BU18">
        <f>AD18*Summary!AN19</f>
        <v>46</v>
      </c>
      <c r="BV18">
        <f>AE18*Summary!AO19</f>
        <v>53</v>
      </c>
      <c r="BW18">
        <f>AF18*Summary!AP19</f>
        <v>49</v>
      </c>
      <c r="BX18">
        <f>AG18*Summary!AQ19</f>
        <v>31</v>
      </c>
      <c r="BY18">
        <f>AH18*Summary!AR19</f>
        <v>48</v>
      </c>
      <c r="BZ18">
        <f>AI18*Summary!AS19</f>
        <v>49</v>
      </c>
      <c r="CA18">
        <f>AJ18*Summary!AT19</f>
        <v>47</v>
      </c>
      <c r="CB18">
        <f>AK18*Summary!AU19</f>
        <v>44</v>
      </c>
      <c r="CC18">
        <f>AL18*Summary!AV19</f>
        <v>47</v>
      </c>
      <c r="CD18">
        <f>AM18*Summary!AW19</f>
        <v>48</v>
      </c>
    </row>
    <row r="19" spans="1:82" x14ac:dyDescent="0.25">
      <c r="A19">
        <v>18</v>
      </c>
      <c r="B19">
        <f>IF(Summary!L20&gt;20,1,0)</f>
        <v>1</v>
      </c>
      <c r="C19">
        <f>IF(Summary!M20&gt;20,1,0)</f>
        <v>1</v>
      </c>
      <c r="D19">
        <f>IF(Summary!N20&gt;20,1,0)</f>
        <v>0</v>
      </c>
      <c r="E19">
        <f>IF(Summary!O20&gt;20,1,0)</f>
        <v>1</v>
      </c>
      <c r="F19">
        <f>IF(Summary!P20&gt;20,1,0)</f>
        <v>1</v>
      </c>
      <c r="G19">
        <f>IF(Summary!Q20&gt;20,1,0)</f>
        <v>1</v>
      </c>
      <c r="H19">
        <f>IF(Summary!R20&gt;20,1,0)</f>
        <v>1</v>
      </c>
      <c r="I19">
        <f>IF(Summary!S20&gt;20,1,0)</f>
        <v>1</v>
      </c>
      <c r="J19">
        <f>IF(Summary!T20&gt;20,1,0)</f>
        <v>1</v>
      </c>
      <c r="K19">
        <f>IF(Summary!U20&gt;20,1,0)</f>
        <v>1</v>
      </c>
      <c r="L19">
        <f>IF(Summary!V20&gt;20,1,0)</f>
        <v>1</v>
      </c>
      <c r="M19">
        <f>IF(Summary!W20&gt;20,1,0)</f>
        <v>1</v>
      </c>
      <c r="N19">
        <f>IF(Summary!X20&gt;20,1,0)</f>
        <v>1</v>
      </c>
      <c r="O19">
        <f>IF(Summary!Y20&gt;20,1,0)</f>
        <v>1</v>
      </c>
      <c r="P19">
        <f>IF(Summary!Z20&gt;20,1,0)</f>
        <v>1</v>
      </c>
      <c r="Q19">
        <f>IF(Summary!AA20&gt;20,1,0)</f>
        <v>1</v>
      </c>
      <c r="R19">
        <f>IF(Summary!AB20&gt;20,1,0)</f>
        <v>1</v>
      </c>
      <c r="S19">
        <f>IF(Summary!AC20&gt;20,1,0)</f>
        <v>0</v>
      </c>
      <c r="T19">
        <f>IF(Summary!AD20&gt;20,1,0)</f>
        <v>1</v>
      </c>
      <c r="U19">
        <f>IF(Summary!AE20&gt;20,1,0)</f>
        <v>1</v>
      </c>
      <c r="V19">
        <f>IF(Summary!AF20&gt;20,1,0)</f>
        <v>1</v>
      </c>
      <c r="W19">
        <f>IF(Summary!AG20&gt;20,1,0)</f>
        <v>1</v>
      </c>
      <c r="X19">
        <f>IF(Summary!AH20&gt;20,1,0)</f>
        <v>1</v>
      </c>
      <c r="Y19">
        <f>IF(Summary!AI20&gt;20,1,0)</f>
        <v>1</v>
      </c>
      <c r="Z19">
        <f>IF(Summary!AJ20&gt;20,1,0)</f>
        <v>1</v>
      </c>
      <c r="AA19">
        <f>IF(Summary!AK20&gt;20,1,0)</f>
        <v>1</v>
      </c>
      <c r="AB19">
        <f>IF(Summary!AL20&gt;20,1,0)</f>
        <v>1</v>
      </c>
      <c r="AC19">
        <f>IF(Summary!AM20&gt;20,1,0)</f>
        <v>1</v>
      </c>
      <c r="AD19">
        <f>IF(Summary!AN20&gt;20,1,0)</f>
        <v>1</v>
      </c>
      <c r="AE19">
        <f>IF(Summary!AO20&gt;20,1,0)</f>
        <v>1</v>
      </c>
      <c r="AF19">
        <f>IF(Summary!AP20&gt;20,1,0)</f>
        <v>1</v>
      </c>
      <c r="AG19">
        <f>IF(Summary!AQ20&gt;20,1,0)</f>
        <v>1</v>
      </c>
      <c r="AH19">
        <f>IF(Summary!AR20&gt;20,1,0)</f>
        <v>1</v>
      </c>
      <c r="AI19">
        <f>IF(Summary!AS20&gt;20,1,0)</f>
        <v>1</v>
      </c>
      <c r="AJ19">
        <f>IF(Summary!AT20&gt;20,1,0)</f>
        <v>1</v>
      </c>
      <c r="AK19">
        <f>IF(Summary!AU20&gt;20,1,0)</f>
        <v>1</v>
      </c>
      <c r="AL19">
        <f>IF(Summary!AV20&gt;20,1,0)</f>
        <v>1</v>
      </c>
      <c r="AM19">
        <f>IF(Summary!AW20&gt;20,1,0)</f>
        <v>1</v>
      </c>
      <c r="AO19">
        <v>18</v>
      </c>
      <c r="AP19">
        <f t="shared" si="0"/>
        <v>36</v>
      </c>
      <c r="AQ19">
        <f t="shared" si="1"/>
        <v>1579</v>
      </c>
      <c r="AS19">
        <f>B19*Summary!L20</f>
        <v>56</v>
      </c>
      <c r="AT19">
        <f>C19*Summary!M20</f>
        <v>45</v>
      </c>
      <c r="AU19">
        <f>D19*Summary!N20</f>
        <v>0</v>
      </c>
      <c r="AV19">
        <f>E19*Summary!O20</f>
        <v>43</v>
      </c>
      <c r="AW19">
        <f>F19*Summary!P20</f>
        <v>25</v>
      </c>
      <c r="AX19">
        <f>G19*Summary!Q20</f>
        <v>47</v>
      </c>
      <c r="AY19">
        <f>H19*Summary!R20</f>
        <v>51</v>
      </c>
      <c r="AZ19">
        <f>I19*Summary!S20</f>
        <v>45</v>
      </c>
      <c r="BA19">
        <f>J19*Summary!T20</f>
        <v>51</v>
      </c>
      <c r="BB19">
        <f>K19*Summary!U20</f>
        <v>43</v>
      </c>
      <c r="BC19">
        <f>L19*Summary!V20</f>
        <v>40</v>
      </c>
      <c r="BD19">
        <f>M19*Summary!W20</f>
        <v>47</v>
      </c>
      <c r="BE19">
        <f>N19*Summary!X20</f>
        <v>24</v>
      </c>
      <c r="BF19">
        <f>O19*Summary!Y20</f>
        <v>43</v>
      </c>
      <c r="BG19">
        <f>P19*Summary!Z20</f>
        <v>50</v>
      </c>
      <c r="BH19">
        <f>Q19*Summary!AA20</f>
        <v>23</v>
      </c>
      <c r="BI19">
        <f>R19*Summary!AB20</f>
        <v>47</v>
      </c>
      <c r="BJ19">
        <f>S19*Summary!AC20</f>
        <v>0</v>
      </c>
      <c r="BK19">
        <f>T19*Summary!AD20</f>
        <v>51</v>
      </c>
      <c r="BL19">
        <f>U19*Summary!AE20</f>
        <v>43</v>
      </c>
      <c r="BM19">
        <f>V19*Summary!AF20</f>
        <v>44</v>
      </c>
      <c r="BN19">
        <f>W19*Summary!AG20</f>
        <v>39</v>
      </c>
      <c r="BO19">
        <f>X19*Summary!AH20</f>
        <v>45</v>
      </c>
      <c r="BP19">
        <f>Y19*Summary!AI20</f>
        <v>40</v>
      </c>
      <c r="BQ19">
        <f>Z19*Summary!AJ20</f>
        <v>51</v>
      </c>
      <c r="BR19">
        <f>AA19*Summary!AK20</f>
        <v>42</v>
      </c>
      <c r="BS19">
        <f>AB19*Summary!AL20</f>
        <v>50</v>
      </c>
      <c r="BT19">
        <f>AC19*Summary!AM20</f>
        <v>42</v>
      </c>
      <c r="BU19">
        <f>AD19*Summary!AN20</f>
        <v>48</v>
      </c>
      <c r="BV19">
        <f>AE19*Summary!AO20</f>
        <v>43</v>
      </c>
      <c r="BW19">
        <f>AF19*Summary!AP20</f>
        <v>39</v>
      </c>
      <c r="BX19">
        <f>AG19*Summary!AQ20</f>
        <v>38</v>
      </c>
      <c r="BY19">
        <f>AH19*Summary!AR20</f>
        <v>50</v>
      </c>
      <c r="BZ19">
        <f>AI19*Summary!AS20</f>
        <v>51</v>
      </c>
      <c r="CA19">
        <f>AJ19*Summary!AT20</f>
        <v>49</v>
      </c>
      <c r="CB19">
        <f>AK19*Summary!AU20</f>
        <v>47</v>
      </c>
      <c r="CC19">
        <f>AL19*Summary!AV20</f>
        <v>47</v>
      </c>
      <c r="CD19">
        <f>AM19*Summary!AW20</f>
        <v>40</v>
      </c>
    </row>
    <row r="20" spans="1:82" x14ac:dyDescent="0.25">
      <c r="A20">
        <v>19</v>
      </c>
      <c r="B20">
        <f>IF(Summary!L21&gt;20,1,0)</f>
        <v>1</v>
      </c>
      <c r="C20">
        <f>IF(Summary!M21&gt;20,1,0)</f>
        <v>1</v>
      </c>
      <c r="D20">
        <v>0</v>
      </c>
      <c r="E20">
        <f>IF(Summary!O21&gt;20,1,0)</f>
        <v>1</v>
      </c>
      <c r="F20">
        <f>IF(Summary!P21&gt;20,1,0)</f>
        <v>1</v>
      </c>
      <c r="G20">
        <f>IF(Summary!Q21&gt;20,1,0)</f>
        <v>1</v>
      </c>
      <c r="H20">
        <f>IF(Summary!R21&gt;20,1,0)</f>
        <v>1</v>
      </c>
      <c r="I20">
        <f>IF(Summary!S21&gt;20,1,0)</f>
        <v>1</v>
      </c>
      <c r="J20">
        <f>IF(Summary!T21&gt;20,1,0)</f>
        <v>1</v>
      </c>
      <c r="K20">
        <f>IF(Summary!U21&gt;20,1,0)</f>
        <v>1</v>
      </c>
      <c r="L20">
        <f>IF(Summary!V21&gt;20,1,0)</f>
        <v>1</v>
      </c>
      <c r="M20">
        <f>IF(Summary!W21&gt;20,1,0)</f>
        <v>1</v>
      </c>
      <c r="N20">
        <f>IF(Summary!X21&gt;20,1,0)</f>
        <v>1</v>
      </c>
      <c r="O20">
        <f>IF(Summary!Y21&gt;20,1,0)</f>
        <v>1</v>
      </c>
      <c r="P20">
        <f>IF(Summary!Z21&gt;20,1,0)</f>
        <v>1</v>
      </c>
      <c r="Q20">
        <f>IF(Summary!AA21&gt;20,1,0)</f>
        <v>1</v>
      </c>
      <c r="R20">
        <f>IF(Summary!AB21&gt;20,1,0)</f>
        <v>1</v>
      </c>
      <c r="S20">
        <f>IF(Summary!AC21&gt;20,1,0)</f>
        <v>0</v>
      </c>
      <c r="T20">
        <f>IF(Summary!AD21&gt;20,1,0)</f>
        <v>1</v>
      </c>
      <c r="U20">
        <f>IF(Summary!AE21&gt;20,1,0)</f>
        <v>1</v>
      </c>
      <c r="V20">
        <f>IF(Summary!AF21&gt;20,1,0)</f>
        <v>1</v>
      </c>
      <c r="W20">
        <f>IF(Summary!AG21&gt;20,1,0)</f>
        <v>1</v>
      </c>
      <c r="X20">
        <f>IF(Summary!AH21&gt;20,1,0)</f>
        <v>1</v>
      </c>
      <c r="Y20">
        <f>IF(Summary!AI21&gt;20,1,0)</f>
        <v>1</v>
      </c>
      <c r="Z20">
        <f>IF(Summary!AJ21&gt;20,1,0)</f>
        <v>1</v>
      </c>
      <c r="AA20">
        <f>IF(Summary!AK21&gt;20,1,0)</f>
        <v>1</v>
      </c>
      <c r="AB20">
        <f>IF(Summary!AL21&gt;20,1,0)</f>
        <v>1</v>
      </c>
      <c r="AC20">
        <f>IF(Summary!AM21&gt;20,1,0)</f>
        <v>1</v>
      </c>
      <c r="AD20">
        <f>IF(Summary!AN21&gt;20,1,0)</f>
        <v>1</v>
      </c>
      <c r="AE20">
        <f>IF(Summary!AO21&gt;20,1,0)</f>
        <v>1</v>
      </c>
      <c r="AF20">
        <f>IF(Summary!AP21&gt;20,1,0)</f>
        <v>1</v>
      </c>
      <c r="AG20">
        <f>IF(Summary!AQ21&gt;20,1,0)</f>
        <v>1</v>
      </c>
      <c r="AH20">
        <f>IF(Summary!AR21&gt;20,1,0)</f>
        <v>1</v>
      </c>
      <c r="AI20">
        <f>IF(Summary!AS21&gt;20,1,0)</f>
        <v>1</v>
      </c>
      <c r="AJ20">
        <f>IF(Summary!AT21&gt;20,1,0)</f>
        <v>1</v>
      </c>
      <c r="AK20">
        <f>IF(Summary!AU21&gt;20,1,0)</f>
        <v>1</v>
      </c>
      <c r="AL20">
        <f>IF(Summary!AV21&gt;20,1,0)</f>
        <v>1</v>
      </c>
      <c r="AM20">
        <f>IF(Summary!AW21&gt;20,1,0)</f>
        <v>1</v>
      </c>
      <c r="AO20">
        <v>19</v>
      </c>
      <c r="AP20">
        <f t="shared" si="0"/>
        <v>36</v>
      </c>
      <c r="AQ20">
        <f t="shared" si="1"/>
        <v>1648</v>
      </c>
      <c r="AS20">
        <f>B20*Summary!L21</f>
        <v>49</v>
      </c>
      <c r="AT20">
        <f>C20*Summary!M21</f>
        <v>34</v>
      </c>
      <c r="AU20">
        <f>D20*Summary!N21</f>
        <v>0</v>
      </c>
      <c r="AV20">
        <f>E20*Summary!O21</f>
        <v>49</v>
      </c>
      <c r="AW20">
        <f>F20*Summary!P21</f>
        <v>35</v>
      </c>
      <c r="AX20">
        <f>G20*Summary!Q21</f>
        <v>41</v>
      </c>
      <c r="AY20">
        <f>H20*Summary!R21</f>
        <v>55</v>
      </c>
      <c r="AZ20">
        <f>I20*Summary!S21</f>
        <v>48</v>
      </c>
      <c r="BA20">
        <f>J20*Summary!T21</f>
        <v>56</v>
      </c>
      <c r="BB20">
        <f>K20*Summary!U21</f>
        <v>46</v>
      </c>
      <c r="BC20">
        <f>L20*Summary!V21</f>
        <v>38</v>
      </c>
      <c r="BD20">
        <f>M20*Summary!W21</f>
        <v>47</v>
      </c>
      <c r="BE20">
        <f>N20*Summary!X21</f>
        <v>33</v>
      </c>
      <c r="BF20">
        <f>O20*Summary!Y21</f>
        <v>48</v>
      </c>
      <c r="BG20">
        <f>P20*Summary!Z21</f>
        <v>53</v>
      </c>
      <c r="BH20">
        <f>Q20*Summary!AA21</f>
        <v>27</v>
      </c>
      <c r="BI20">
        <f>R20*Summary!AB21</f>
        <v>45</v>
      </c>
      <c r="BJ20">
        <f>S20*Summary!AC21</f>
        <v>0</v>
      </c>
      <c r="BK20">
        <f>T20*Summary!AD21</f>
        <v>51</v>
      </c>
      <c r="BL20">
        <f>U20*Summary!AE21</f>
        <v>42</v>
      </c>
      <c r="BM20">
        <f>V20*Summary!AF21</f>
        <v>49</v>
      </c>
      <c r="BN20">
        <f>W20*Summary!AG21</f>
        <v>48</v>
      </c>
      <c r="BO20">
        <f>X20*Summary!AH21</f>
        <v>51</v>
      </c>
      <c r="BP20">
        <f>Y20*Summary!AI21</f>
        <v>47</v>
      </c>
      <c r="BQ20">
        <f>Z20*Summary!AJ21</f>
        <v>48</v>
      </c>
      <c r="BR20">
        <f>AA20*Summary!AK21</f>
        <v>44</v>
      </c>
      <c r="BS20">
        <f>AB20*Summary!AL21</f>
        <v>49</v>
      </c>
      <c r="BT20">
        <f>AC20*Summary!AM21</f>
        <v>38</v>
      </c>
      <c r="BU20">
        <f>AD20*Summary!AN21</f>
        <v>48</v>
      </c>
      <c r="BV20">
        <f>AE20*Summary!AO21</f>
        <v>53</v>
      </c>
      <c r="BW20">
        <f>AF20*Summary!AP21</f>
        <v>48</v>
      </c>
      <c r="BX20">
        <f>AG20*Summary!AQ21</f>
        <v>39</v>
      </c>
      <c r="BY20">
        <f>AH20*Summary!AR21</f>
        <v>53</v>
      </c>
      <c r="BZ20">
        <f>AI20*Summary!AS21</f>
        <v>44</v>
      </c>
      <c r="CA20">
        <f>AJ20*Summary!AT21</f>
        <v>50</v>
      </c>
      <c r="CB20">
        <f>AK20*Summary!AU21</f>
        <v>37</v>
      </c>
      <c r="CC20">
        <f>AL20*Summary!AV21</f>
        <v>50</v>
      </c>
      <c r="CD20">
        <f>AM20*Summary!AW21</f>
        <v>55</v>
      </c>
    </row>
    <row r="21" spans="1:82" x14ac:dyDescent="0.25">
      <c r="A21">
        <v>20</v>
      </c>
      <c r="B21">
        <f>IF(Summary!L22&gt;20,1,0)</f>
        <v>1</v>
      </c>
      <c r="C21">
        <f>IF(Summary!M22&gt;20,1,0)</f>
        <v>1</v>
      </c>
      <c r="D21">
        <v>0</v>
      </c>
      <c r="E21">
        <f>IF(Summary!O22&gt;20,1,0)</f>
        <v>1</v>
      </c>
      <c r="F21">
        <f>IF(Summary!P22&gt;20,1,0)</f>
        <v>1</v>
      </c>
      <c r="G21">
        <f>IF(Summary!Q22&gt;20,1,0)</f>
        <v>1</v>
      </c>
      <c r="H21">
        <f>IF(Summary!R22&gt;20,1,0)</f>
        <v>1</v>
      </c>
      <c r="I21">
        <f>IF(Summary!S22&gt;20,1,0)</f>
        <v>1</v>
      </c>
      <c r="J21">
        <f>IF(Summary!T22&gt;20,1,0)</f>
        <v>1</v>
      </c>
      <c r="K21">
        <f>IF(Summary!U22&gt;20,1,0)</f>
        <v>1</v>
      </c>
      <c r="L21">
        <f>IF(Summary!V22&gt;20,1,0)</f>
        <v>1</v>
      </c>
      <c r="M21">
        <f>IF(Summary!W22&gt;20,1,0)</f>
        <v>1</v>
      </c>
      <c r="N21">
        <f>IF(Summary!X22&gt;20,1,0)</f>
        <v>1</v>
      </c>
      <c r="O21">
        <f>IF(Summary!Y22&gt;20,1,0)</f>
        <v>1</v>
      </c>
      <c r="P21">
        <f>IF(Summary!Z22&gt;20,1,0)</f>
        <v>1</v>
      </c>
      <c r="Q21">
        <f>IF(Summary!AA22&gt;20,1,0)</f>
        <v>0</v>
      </c>
      <c r="R21">
        <f>IF(Summary!AB22&gt;20,1,0)</f>
        <v>1</v>
      </c>
      <c r="S21">
        <f>IF(Summary!AC22&gt;20,1,0)</f>
        <v>1</v>
      </c>
      <c r="T21">
        <f>IF(Summary!AD22&gt;20,1,0)</f>
        <v>1</v>
      </c>
      <c r="U21">
        <f>IF(Summary!AE22&gt;20,1,0)</f>
        <v>1</v>
      </c>
      <c r="V21">
        <f>IF(Summary!AF22&gt;20,1,0)</f>
        <v>1</v>
      </c>
      <c r="W21">
        <f>IF(Summary!AG22&gt;20,1,0)</f>
        <v>1</v>
      </c>
      <c r="X21">
        <f>IF(Summary!AH22&gt;20,1,0)</f>
        <v>1</v>
      </c>
      <c r="Y21">
        <f>IF(Summary!AI22&gt;20,1,0)</f>
        <v>1</v>
      </c>
      <c r="Z21">
        <f>IF(Summary!AJ22&gt;20,1,0)</f>
        <v>1</v>
      </c>
      <c r="AA21">
        <f>IF(Summary!AK22&gt;20,1,0)</f>
        <v>1</v>
      </c>
      <c r="AB21">
        <f>IF(Summary!AL22&gt;20,1,0)</f>
        <v>1</v>
      </c>
      <c r="AC21">
        <f>IF(Summary!AM22&gt;20,1,0)</f>
        <v>1</v>
      </c>
      <c r="AD21">
        <f>IF(Summary!AN22&gt;20,1,0)</f>
        <v>1</v>
      </c>
      <c r="AE21">
        <f>IF(Summary!AO22&gt;20,1,0)</f>
        <v>1</v>
      </c>
      <c r="AF21">
        <f>IF(Summary!AP22&gt;20,1,0)</f>
        <v>1</v>
      </c>
      <c r="AG21">
        <f>IF(Summary!AQ22&gt;20,1,0)</f>
        <v>1</v>
      </c>
      <c r="AH21">
        <f>IF(Summary!AR22&gt;20,1,0)</f>
        <v>1</v>
      </c>
      <c r="AI21">
        <f>IF(Summary!AS22&gt;20,1,0)</f>
        <v>1</v>
      </c>
      <c r="AJ21">
        <f>IF(Summary!AT22&gt;20,1,0)</f>
        <v>1</v>
      </c>
      <c r="AK21">
        <f>IF(Summary!AU22&gt;20,1,0)</f>
        <v>1</v>
      </c>
      <c r="AL21">
        <f>IF(Summary!AV22&gt;20,1,0)</f>
        <v>1</v>
      </c>
      <c r="AM21">
        <f>IF(Summary!AW22&gt;20,1,0)</f>
        <v>1</v>
      </c>
      <c r="AO21">
        <v>20</v>
      </c>
      <c r="AP21">
        <f t="shared" si="0"/>
        <v>36</v>
      </c>
      <c r="AQ21">
        <f t="shared" si="1"/>
        <v>1709</v>
      </c>
      <c r="AS21">
        <f>B21*Summary!L22</f>
        <v>58</v>
      </c>
      <c r="AT21">
        <f>C21*Summary!M22</f>
        <v>45</v>
      </c>
      <c r="AU21">
        <f>D21*Summary!N22</f>
        <v>0</v>
      </c>
      <c r="AV21">
        <f>E21*Summary!O22</f>
        <v>50</v>
      </c>
      <c r="AW21">
        <f>F21*Summary!P22</f>
        <v>31</v>
      </c>
      <c r="AX21">
        <f>G21*Summary!Q22</f>
        <v>42</v>
      </c>
      <c r="AY21">
        <f>H21*Summary!R22</f>
        <v>48</v>
      </c>
      <c r="AZ21">
        <f>I21*Summary!S22</f>
        <v>23</v>
      </c>
      <c r="BA21">
        <f>J21*Summary!T22</f>
        <v>58</v>
      </c>
      <c r="BB21">
        <f>K21*Summary!U22</f>
        <v>47</v>
      </c>
      <c r="BC21">
        <f>L21*Summary!V22</f>
        <v>43</v>
      </c>
      <c r="BD21">
        <f>M21*Summary!W22</f>
        <v>50</v>
      </c>
      <c r="BE21">
        <f>N21*Summary!X22</f>
        <v>34</v>
      </c>
      <c r="BF21">
        <f>O21*Summary!Y22</f>
        <v>51</v>
      </c>
      <c r="BG21">
        <f>P21*Summary!Z22</f>
        <v>52</v>
      </c>
      <c r="BH21">
        <f>Q21*Summary!AA22</f>
        <v>0</v>
      </c>
      <c r="BI21">
        <f>R21*Summary!AB22</f>
        <v>59</v>
      </c>
      <c r="BJ21">
        <f>S21*Summary!AC22</f>
        <v>38</v>
      </c>
      <c r="BK21">
        <f>T21*Summary!AD22</f>
        <v>45</v>
      </c>
      <c r="BL21">
        <f>U21*Summary!AE22</f>
        <v>48</v>
      </c>
      <c r="BM21">
        <f>V21*Summary!AF22</f>
        <v>50</v>
      </c>
      <c r="BN21">
        <f>W21*Summary!AG22</f>
        <v>54</v>
      </c>
      <c r="BO21">
        <f>X21*Summary!AH22</f>
        <v>48</v>
      </c>
      <c r="BP21">
        <f>Y21*Summary!AI22</f>
        <v>44</v>
      </c>
      <c r="BQ21">
        <f>Z21*Summary!AJ22</f>
        <v>48</v>
      </c>
      <c r="BR21">
        <f>AA21*Summary!AK22</f>
        <v>53</v>
      </c>
      <c r="BS21">
        <f>AB21*Summary!AL22</f>
        <v>55</v>
      </c>
      <c r="BT21">
        <f>AC21*Summary!AM22</f>
        <v>48</v>
      </c>
      <c r="BU21">
        <f>AD21*Summary!AN22</f>
        <v>46</v>
      </c>
      <c r="BV21">
        <f>AE21*Summary!AO22</f>
        <v>49</v>
      </c>
      <c r="BW21">
        <f>AF21*Summary!AP22</f>
        <v>54</v>
      </c>
      <c r="BX21">
        <f>AG21*Summary!AQ22</f>
        <v>45</v>
      </c>
      <c r="BY21">
        <f>AH21*Summary!AR22</f>
        <v>57</v>
      </c>
      <c r="BZ21">
        <f>AI21*Summary!AS22</f>
        <v>46</v>
      </c>
      <c r="CA21">
        <f>AJ21*Summary!AT22</f>
        <v>47</v>
      </c>
      <c r="CB21">
        <f>AK21*Summary!AU22</f>
        <v>40</v>
      </c>
      <c r="CC21">
        <f>AL21*Summary!AV22</f>
        <v>48</v>
      </c>
      <c r="CD21">
        <f>AM21*Summary!AW22</f>
        <v>55</v>
      </c>
    </row>
    <row r="22" spans="1:82" x14ac:dyDescent="0.25">
      <c r="A22">
        <v>21</v>
      </c>
      <c r="B22">
        <f>IF(Summary!L23&gt;20,1,0)</f>
        <v>1</v>
      </c>
      <c r="C22">
        <f>IF(Summary!M23&gt;20,1,0)</f>
        <v>1</v>
      </c>
      <c r="D22">
        <f>IF(Summary!N23&gt;20,1,0)</f>
        <v>0</v>
      </c>
      <c r="E22">
        <f>IF(Summary!O23&gt;20,1,0)</f>
        <v>1</v>
      </c>
      <c r="F22">
        <f>IF(Summary!P23&gt;20,1,0)</f>
        <v>1</v>
      </c>
      <c r="G22">
        <f>IF(Summary!Q23&gt;20,1,0)</f>
        <v>1</v>
      </c>
      <c r="H22">
        <f>IF(Summary!R23&gt;20,1,0)</f>
        <v>1</v>
      </c>
      <c r="I22">
        <f>IF(Summary!S23&gt;20,1,0)</f>
        <v>1</v>
      </c>
      <c r="J22">
        <f>IF(Summary!T23&gt;20,1,0)</f>
        <v>1</v>
      </c>
      <c r="K22">
        <f>IF(Summary!U23&gt;20,1,0)</f>
        <v>1</v>
      </c>
      <c r="L22">
        <f>IF(Summary!V23&gt;20,1,0)</f>
        <v>1</v>
      </c>
      <c r="M22">
        <f>IF(Summary!W23&gt;20,1,0)</f>
        <v>1</v>
      </c>
      <c r="N22">
        <f>IF(Summary!X23&gt;20,1,0)</f>
        <v>1</v>
      </c>
      <c r="O22">
        <f>IF(Summary!Y23&gt;20,1,0)</f>
        <v>1</v>
      </c>
      <c r="P22">
        <f>IF(Summary!Z23&gt;20,1,0)</f>
        <v>1</v>
      </c>
      <c r="Q22">
        <f>IF(Summary!AA23&gt;20,1,0)</f>
        <v>0</v>
      </c>
      <c r="R22">
        <f>IF(Summary!AB23&gt;20,1,0)</f>
        <v>1</v>
      </c>
      <c r="S22">
        <f>IF(Summary!AC23&gt;20,1,0)</f>
        <v>1</v>
      </c>
      <c r="T22">
        <f>IF(Summary!AD23&gt;20,1,0)</f>
        <v>1</v>
      </c>
      <c r="U22">
        <f>IF(Summary!AE23&gt;20,1,0)</f>
        <v>1</v>
      </c>
      <c r="V22">
        <f>IF(Summary!AF23&gt;20,1,0)</f>
        <v>1</v>
      </c>
      <c r="W22">
        <f>IF(Summary!AG23&gt;20,1,0)</f>
        <v>1</v>
      </c>
      <c r="X22">
        <f>IF(Summary!AH23&gt;20,1,0)</f>
        <v>1</v>
      </c>
      <c r="Y22">
        <f>IF(Summary!AI23&gt;20,1,0)</f>
        <v>1</v>
      </c>
      <c r="Z22">
        <f>IF(Summary!AJ23&gt;20,1,0)</f>
        <v>1</v>
      </c>
      <c r="AA22">
        <f>IF(Summary!AK23&gt;20,1,0)</f>
        <v>1</v>
      </c>
      <c r="AB22">
        <f>IF(Summary!AL23&gt;20,1,0)</f>
        <v>1</v>
      </c>
      <c r="AC22">
        <f>IF(Summary!AM23&gt;20,1,0)</f>
        <v>1</v>
      </c>
      <c r="AD22">
        <f>IF(Summary!AN23&gt;20,1,0)</f>
        <v>1</v>
      </c>
      <c r="AE22">
        <f>IF(Summary!AO23&gt;20,1,0)</f>
        <v>1</v>
      </c>
      <c r="AF22">
        <f>IF(Summary!AP23&gt;20,1,0)</f>
        <v>1</v>
      </c>
      <c r="AG22">
        <f>IF(Summary!AQ23&gt;20,1,0)</f>
        <v>1</v>
      </c>
      <c r="AH22">
        <f>IF(Summary!AR23&gt;20,1,0)</f>
        <v>1</v>
      </c>
      <c r="AI22">
        <f>IF(Summary!AS23&gt;20,1,0)</f>
        <v>1</v>
      </c>
      <c r="AJ22">
        <f>IF(Summary!AT23&gt;20,1,0)</f>
        <v>1</v>
      </c>
      <c r="AK22">
        <f>IF(Summary!AU23&gt;20,1,0)</f>
        <v>1</v>
      </c>
      <c r="AL22">
        <f>IF(Summary!AV23&gt;20,1,0)</f>
        <v>1</v>
      </c>
      <c r="AM22">
        <f>IF(Summary!AW23&gt;20,1,0)</f>
        <v>1</v>
      </c>
      <c r="AO22">
        <v>21</v>
      </c>
      <c r="AP22">
        <f t="shared" si="0"/>
        <v>36</v>
      </c>
      <c r="AQ22">
        <f t="shared" si="1"/>
        <v>1593</v>
      </c>
      <c r="AS22">
        <f>B22*Summary!L23</f>
        <v>55</v>
      </c>
      <c r="AT22">
        <f>C22*Summary!M23</f>
        <v>33</v>
      </c>
      <c r="AU22">
        <f>D22*Summary!N23</f>
        <v>0</v>
      </c>
      <c r="AV22">
        <f>E22*Summary!O23</f>
        <v>51</v>
      </c>
      <c r="AW22">
        <f>F22*Summary!P23</f>
        <v>22</v>
      </c>
      <c r="AX22">
        <f>G22*Summary!Q23</f>
        <v>36</v>
      </c>
      <c r="AY22">
        <f>H22*Summary!R23</f>
        <v>48</v>
      </c>
      <c r="AZ22">
        <f>I22*Summary!S23</f>
        <v>51</v>
      </c>
      <c r="BA22">
        <f>J22*Summary!T23</f>
        <v>55</v>
      </c>
      <c r="BB22">
        <f>K22*Summary!U23</f>
        <v>40</v>
      </c>
      <c r="BC22">
        <f>L22*Summary!V23</f>
        <v>39</v>
      </c>
      <c r="BD22">
        <f>M22*Summary!W23</f>
        <v>44</v>
      </c>
      <c r="BE22">
        <f>N22*Summary!X23</f>
        <v>39</v>
      </c>
      <c r="BF22">
        <f>O22*Summary!Y23</f>
        <v>51</v>
      </c>
      <c r="BG22">
        <f>P22*Summary!Z23</f>
        <v>51</v>
      </c>
      <c r="BH22">
        <f>Q22*Summary!AA23</f>
        <v>0</v>
      </c>
      <c r="BI22">
        <f>R22*Summary!AB23</f>
        <v>52</v>
      </c>
      <c r="BJ22">
        <f>S22*Summary!AC23</f>
        <v>36</v>
      </c>
      <c r="BK22">
        <f>T22*Summary!AD23</f>
        <v>41</v>
      </c>
      <c r="BL22">
        <f>U22*Summary!AE23</f>
        <v>42</v>
      </c>
      <c r="BM22">
        <f>V22*Summary!AF23</f>
        <v>46</v>
      </c>
      <c r="BN22">
        <f>W22*Summary!AG23</f>
        <v>42</v>
      </c>
      <c r="BO22">
        <f>X22*Summary!AH23</f>
        <v>49</v>
      </c>
      <c r="BP22">
        <f>Y22*Summary!AI23</f>
        <v>42</v>
      </c>
      <c r="BQ22">
        <f>Z22*Summary!AJ23</f>
        <v>45</v>
      </c>
      <c r="BR22">
        <f>AA22*Summary!AK23</f>
        <v>40</v>
      </c>
      <c r="BS22">
        <f>AB22*Summary!AL23</f>
        <v>49</v>
      </c>
      <c r="BT22">
        <f>AC22*Summary!AM23</f>
        <v>44</v>
      </c>
      <c r="BU22">
        <f>AD22*Summary!AN23</f>
        <v>46</v>
      </c>
      <c r="BV22">
        <f>AE22*Summary!AO23</f>
        <v>52</v>
      </c>
      <c r="BW22">
        <f>AF22*Summary!AP23</f>
        <v>50</v>
      </c>
      <c r="BX22">
        <f>AG22*Summary!AQ23</f>
        <v>28</v>
      </c>
      <c r="BY22">
        <f>AH22*Summary!AR23</f>
        <v>51</v>
      </c>
      <c r="BZ22">
        <f>AI22*Summary!AS23</f>
        <v>39</v>
      </c>
      <c r="CA22">
        <f>AJ22*Summary!AT23</f>
        <v>47</v>
      </c>
      <c r="CB22">
        <f>AK22*Summary!AU23</f>
        <v>46</v>
      </c>
      <c r="CC22">
        <f>AL22*Summary!AV23</f>
        <v>43</v>
      </c>
      <c r="CD22">
        <f>AM22*Summary!AW23</f>
        <v>48</v>
      </c>
    </row>
    <row r="23" spans="1:82" x14ac:dyDescent="0.25">
      <c r="A23">
        <v>22</v>
      </c>
      <c r="B23">
        <f>IF(Summary!L24&gt;20,1,0)</f>
        <v>1</v>
      </c>
      <c r="C23">
        <f>IF(Summary!M24&gt;20,1,0)</f>
        <v>1</v>
      </c>
      <c r="D23">
        <f>IF(Summary!N24&gt;20,1,0)</f>
        <v>0</v>
      </c>
      <c r="E23">
        <f>IF(Summary!O24&gt;20,1,0)</f>
        <v>1</v>
      </c>
      <c r="F23">
        <f>IF(Summary!P24&gt;20,1,0)</f>
        <v>1</v>
      </c>
      <c r="G23">
        <f>IF(Summary!Q24&gt;20,1,0)</f>
        <v>1</v>
      </c>
      <c r="H23">
        <f>IF(Summary!R24&gt;20,1,0)</f>
        <v>1</v>
      </c>
      <c r="I23">
        <f>IF(Summary!S24&gt;20,1,0)</f>
        <v>1</v>
      </c>
      <c r="J23">
        <f>IF(Summary!T24&gt;20,1,0)</f>
        <v>1</v>
      </c>
      <c r="K23">
        <f>IF(Summary!U24&gt;20,1,0)</f>
        <v>1</v>
      </c>
      <c r="L23">
        <f>IF(Summary!V24&gt;20,1,0)</f>
        <v>1</v>
      </c>
      <c r="M23">
        <f>IF(Summary!W24&gt;20,1,0)</f>
        <v>1</v>
      </c>
      <c r="N23">
        <f>IF(Summary!X24&gt;20,1,0)</f>
        <v>1</v>
      </c>
      <c r="O23">
        <f>IF(Summary!Y24&gt;20,1,0)</f>
        <v>1</v>
      </c>
      <c r="P23">
        <f>IF(Summary!Z24&gt;20,1,0)</f>
        <v>1</v>
      </c>
      <c r="Q23">
        <f>IF(Summary!AA24&gt;20,1,0)</f>
        <v>0</v>
      </c>
      <c r="R23">
        <f>IF(Summary!AB24&gt;20,1,0)</f>
        <v>1</v>
      </c>
      <c r="S23">
        <f>IF(Summary!AC24&gt;20,1,0)</f>
        <v>0</v>
      </c>
      <c r="T23">
        <f>IF(Summary!AD24&gt;20,1,0)</f>
        <v>1</v>
      </c>
      <c r="U23">
        <f>IF(Summary!AE24&gt;20,1,0)</f>
        <v>1</v>
      </c>
      <c r="V23">
        <f>IF(Summary!AF24&gt;20,1,0)</f>
        <v>1</v>
      </c>
      <c r="W23">
        <f>IF(Summary!AG24&gt;20,1,0)</f>
        <v>1</v>
      </c>
      <c r="X23">
        <f>IF(Summary!AH24&gt;20,1,0)</f>
        <v>1</v>
      </c>
      <c r="Y23">
        <f>IF(Summary!AI24&gt;20,1,0)</f>
        <v>1</v>
      </c>
      <c r="Z23">
        <f>IF(Summary!AJ24&gt;20,1,0)</f>
        <v>1</v>
      </c>
      <c r="AA23">
        <f>IF(Summary!AK24&gt;20,1,0)</f>
        <v>1</v>
      </c>
      <c r="AB23">
        <f>IF(Summary!AL24&gt;20,1,0)</f>
        <v>1</v>
      </c>
      <c r="AC23">
        <f>IF(Summary!AM24&gt;20,1,0)</f>
        <v>1</v>
      </c>
      <c r="AD23">
        <f>IF(Summary!AN24&gt;20,1,0)</f>
        <v>1</v>
      </c>
      <c r="AE23">
        <f>IF(Summary!AO24&gt;20,1,0)</f>
        <v>1</v>
      </c>
      <c r="AF23">
        <f>IF(Summary!AP24&gt;20,1,0)</f>
        <v>1</v>
      </c>
      <c r="AG23">
        <f>IF(Summary!AQ24&gt;20,1,0)</f>
        <v>1</v>
      </c>
      <c r="AH23">
        <f>IF(Summary!AR24&gt;20,1,0)</f>
        <v>1</v>
      </c>
      <c r="AI23">
        <f>IF(Summary!AS24&gt;20,1,0)</f>
        <v>1</v>
      </c>
      <c r="AJ23">
        <f>IF(Summary!AT24&gt;20,1,0)</f>
        <v>1</v>
      </c>
      <c r="AK23">
        <f>IF(Summary!AU24&gt;20,1,0)</f>
        <v>1</v>
      </c>
      <c r="AL23">
        <f>IF(Summary!AV24&gt;20,1,0)</f>
        <v>1</v>
      </c>
      <c r="AM23">
        <f>IF(Summary!AW24&gt;20,1,0)</f>
        <v>1</v>
      </c>
      <c r="AO23">
        <v>22</v>
      </c>
      <c r="AP23">
        <f t="shared" si="0"/>
        <v>35</v>
      </c>
      <c r="AQ23">
        <f t="shared" si="1"/>
        <v>1602</v>
      </c>
      <c r="AS23">
        <f>B23*Summary!L24</f>
        <v>50</v>
      </c>
      <c r="AT23">
        <f>C23*Summary!M24</f>
        <v>45</v>
      </c>
      <c r="AU23">
        <f>D23*Summary!N24</f>
        <v>0</v>
      </c>
      <c r="AV23">
        <f>E23*Summary!O24</f>
        <v>51</v>
      </c>
      <c r="AW23">
        <f>F23*Summary!P24</f>
        <v>34</v>
      </c>
      <c r="AX23">
        <f>G23*Summary!Q24</f>
        <v>21</v>
      </c>
      <c r="AY23">
        <f>H23*Summary!R24</f>
        <v>48</v>
      </c>
      <c r="AZ23">
        <f>I23*Summary!S24</f>
        <v>33</v>
      </c>
      <c r="BA23">
        <f>J23*Summary!T24</f>
        <v>60</v>
      </c>
      <c r="BB23">
        <f>K23*Summary!U24</f>
        <v>45</v>
      </c>
      <c r="BC23">
        <f>L23*Summary!V24</f>
        <v>48</v>
      </c>
      <c r="BD23">
        <f>M23*Summary!W24</f>
        <v>46</v>
      </c>
      <c r="BE23">
        <f>N23*Summary!X24</f>
        <v>35</v>
      </c>
      <c r="BF23">
        <f>O23*Summary!Y24</f>
        <v>49</v>
      </c>
      <c r="BG23">
        <f>P23*Summary!Z24</f>
        <v>47</v>
      </c>
      <c r="BH23">
        <f>Q23*Summary!AA24</f>
        <v>0</v>
      </c>
      <c r="BI23">
        <f>R23*Summary!AB24</f>
        <v>58</v>
      </c>
      <c r="BJ23">
        <f>S23*Summary!AC24</f>
        <v>0</v>
      </c>
      <c r="BK23">
        <f>T23*Summary!AD24</f>
        <v>50</v>
      </c>
      <c r="BL23">
        <f>U23*Summary!AE24</f>
        <v>44</v>
      </c>
      <c r="BM23">
        <f>V23*Summary!AF24</f>
        <v>48</v>
      </c>
      <c r="BN23">
        <f>W23*Summary!AG24</f>
        <v>39</v>
      </c>
      <c r="BO23">
        <f>X23*Summary!AH24</f>
        <v>52</v>
      </c>
      <c r="BP23">
        <f>Y23*Summary!AI24</f>
        <v>42</v>
      </c>
      <c r="BQ23">
        <f>Z23*Summary!AJ24</f>
        <v>42</v>
      </c>
      <c r="BR23">
        <f>AA23*Summary!AK24</f>
        <v>46</v>
      </c>
      <c r="BS23">
        <f>AB23*Summary!AL24</f>
        <v>53</v>
      </c>
      <c r="BT23">
        <f>AC23*Summary!AM24</f>
        <v>46</v>
      </c>
      <c r="BU23">
        <f>AD23*Summary!AN24</f>
        <v>52</v>
      </c>
      <c r="BV23">
        <f>AE23*Summary!AO24</f>
        <v>48</v>
      </c>
      <c r="BW23">
        <f>AF23*Summary!AP24</f>
        <v>52</v>
      </c>
      <c r="BX23">
        <f>AG23*Summary!AQ24</f>
        <v>33</v>
      </c>
      <c r="BY23">
        <f>AH23*Summary!AR24</f>
        <v>53</v>
      </c>
      <c r="BZ23">
        <f>AI23*Summary!AS24</f>
        <v>46</v>
      </c>
      <c r="CA23">
        <f>AJ23*Summary!AT24</f>
        <v>51</v>
      </c>
      <c r="CB23">
        <f>AK23*Summary!AU24</f>
        <v>40</v>
      </c>
      <c r="CC23">
        <f>AL23*Summary!AV24</f>
        <v>43</v>
      </c>
      <c r="CD23">
        <f>AM23*Summary!AW24</f>
        <v>52</v>
      </c>
    </row>
    <row r="24" spans="1:82" x14ac:dyDescent="0.25">
      <c r="A24">
        <v>23</v>
      </c>
      <c r="B24">
        <f>IF(Summary!L25&gt;20,1,0)</f>
        <v>1</v>
      </c>
      <c r="C24">
        <f>IF(Summary!M25&gt;20,1,0)</f>
        <v>1</v>
      </c>
      <c r="D24">
        <f>IF(Summary!N25&gt;20,1,0)</f>
        <v>0</v>
      </c>
      <c r="E24">
        <f>IF(Summary!O25&gt;20,1,0)</f>
        <v>1</v>
      </c>
      <c r="F24">
        <f>IF(Summary!P25&gt;20,1,0)</f>
        <v>1</v>
      </c>
      <c r="G24">
        <f>IF(Summary!Q25&gt;20,1,0)</f>
        <v>1</v>
      </c>
      <c r="H24">
        <f>IF(Summary!R25&gt;20,1,0)</f>
        <v>1</v>
      </c>
      <c r="I24">
        <f>IF(Summary!S25&gt;20,1,0)</f>
        <v>1</v>
      </c>
      <c r="J24">
        <f>IF(Summary!T25&gt;20,1,0)</f>
        <v>1</v>
      </c>
      <c r="K24">
        <f>IF(Summary!U25&gt;20,1,0)</f>
        <v>1</v>
      </c>
      <c r="L24">
        <f>IF(Summary!V25&gt;20,1,0)</f>
        <v>1</v>
      </c>
      <c r="M24">
        <f>IF(Summary!W25&gt;20,1,0)</f>
        <v>1</v>
      </c>
      <c r="N24">
        <f>IF(Summary!X25&gt;20,1,0)</f>
        <v>1</v>
      </c>
      <c r="O24">
        <f>IF(Summary!Y25&gt;20,1,0)</f>
        <v>1</v>
      </c>
      <c r="P24">
        <f>IF(Summary!Z25&gt;20,1,0)</f>
        <v>1</v>
      </c>
      <c r="Q24">
        <f>IF(Summary!AA25&gt;20,1,0)</f>
        <v>0</v>
      </c>
      <c r="R24">
        <f>IF(Summary!AB25&gt;20,1,0)</f>
        <v>1</v>
      </c>
      <c r="S24">
        <f>IF(Summary!AC25&gt;20,1,0)</f>
        <v>0</v>
      </c>
      <c r="T24">
        <f>IF(Summary!AD25&gt;20,1,0)</f>
        <v>1</v>
      </c>
      <c r="U24">
        <f>IF(Summary!AE25&gt;20,1,0)</f>
        <v>1</v>
      </c>
      <c r="V24">
        <f>IF(Summary!AF25&gt;20,1,0)</f>
        <v>1</v>
      </c>
      <c r="W24">
        <f>IF(Summary!AG25&gt;20,1,0)</f>
        <v>1</v>
      </c>
      <c r="X24">
        <f>IF(Summary!AH25&gt;20,1,0)</f>
        <v>1</v>
      </c>
      <c r="Y24">
        <f>IF(Summary!AI25&gt;20,1,0)</f>
        <v>1</v>
      </c>
      <c r="Z24">
        <f>IF(Summary!AJ25&gt;20,1,0)</f>
        <v>1</v>
      </c>
      <c r="AA24">
        <f>IF(Summary!AK25&gt;20,1,0)</f>
        <v>1</v>
      </c>
      <c r="AB24">
        <f>IF(Summary!AL25&gt;20,1,0)</f>
        <v>1</v>
      </c>
      <c r="AC24">
        <f>IF(Summary!AM25&gt;20,1,0)</f>
        <v>1</v>
      </c>
      <c r="AD24">
        <f>IF(Summary!AN25&gt;20,1,0)</f>
        <v>1</v>
      </c>
      <c r="AE24">
        <f>IF(Summary!AO25&gt;20,1,0)</f>
        <v>1</v>
      </c>
      <c r="AF24">
        <f>IF(Summary!AP25&gt;20,1,0)</f>
        <v>1</v>
      </c>
      <c r="AG24">
        <f>IF(Summary!AQ25&gt;20,1,0)</f>
        <v>1</v>
      </c>
      <c r="AH24">
        <f>IF(Summary!AR25&gt;20,1,0)</f>
        <v>1</v>
      </c>
      <c r="AI24">
        <f>IF(Summary!AS25&gt;20,1,0)</f>
        <v>1</v>
      </c>
      <c r="AJ24">
        <f>IF(Summary!AT25&gt;20,1,0)</f>
        <v>1</v>
      </c>
      <c r="AK24">
        <f>IF(Summary!AU25&gt;20,1,0)</f>
        <v>1</v>
      </c>
      <c r="AL24">
        <f>IF(Summary!AV25&gt;20,1,0)</f>
        <v>1</v>
      </c>
      <c r="AM24">
        <f>IF(Summary!AW25&gt;20,1,0)</f>
        <v>1</v>
      </c>
      <c r="AO24">
        <v>23</v>
      </c>
      <c r="AP24">
        <f t="shared" si="0"/>
        <v>35</v>
      </c>
      <c r="AQ24">
        <f t="shared" si="1"/>
        <v>1642</v>
      </c>
      <c r="AS24">
        <f>B24*Summary!L25</f>
        <v>55</v>
      </c>
      <c r="AT24">
        <f>C24*Summary!M25</f>
        <v>38</v>
      </c>
      <c r="AU24">
        <f>D24*Summary!N25</f>
        <v>0</v>
      </c>
      <c r="AV24">
        <f>E24*Summary!O25</f>
        <v>55</v>
      </c>
      <c r="AW24">
        <f>F24*Summary!P25</f>
        <v>30</v>
      </c>
      <c r="AX24">
        <f>G24*Summary!Q25</f>
        <v>37</v>
      </c>
      <c r="AY24">
        <f>H24*Summary!R25</f>
        <v>51</v>
      </c>
      <c r="AZ24">
        <f>I24*Summary!S25</f>
        <v>37</v>
      </c>
      <c r="BA24">
        <f>J24*Summary!T25</f>
        <v>55</v>
      </c>
      <c r="BB24">
        <f>K24*Summary!U25</f>
        <v>47</v>
      </c>
      <c r="BC24">
        <f>L24*Summary!V25</f>
        <v>42</v>
      </c>
      <c r="BD24">
        <f>M24*Summary!W25</f>
        <v>45</v>
      </c>
      <c r="BE24">
        <f>N24*Summary!X25</f>
        <v>50</v>
      </c>
      <c r="BF24">
        <f>O24*Summary!Y25</f>
        <v>49</v>
      </c>
      <c r="BG24">
        <f>P24*Summary!Z25</f>
        <v>54</v>
      </c>
      <c r="BH24">
        <f>Q24*Summary!AA25</f>
        <v>0</v>
      </c>
      <c r="BI24">
        <f>R24*Summary!AB25</f>
        <v>51</v>
      </c>
      <c r="BJ24">
        <f>S24*Summary!AC25</f>
        <v>0</v>
      </c>
      <c r="BK24">
        <f>T24*Summary!AD25</f>
        <v>48</v>
      </c>
      <c r="BL24">
        <f>U24*Summary!AE25</f>
        <v>43</v>
      </c>
      <c r="BM24">
        <f>V24*Summary!AF25</f>
        <v>47</v>
      </c>
      <c r="BN24">
        <f>W24*Summary!AG25</f>
        <v>48</v>
      </c>
      <c r="BO24">
        <f>X24*Summary!AH25</f>
        <v>47</v>
      </c>
      <c r="BP24">
        <f>Y24*Summary!AI25</f>
        <v>43</v>
      </c>
      <c r="BQ24">
        <f>Z24*Summary!AJ25</f>
        <v>41</v>
      </c>
      <c r="BR24">
        <f>AA24*Summary!AK25</f>
        <v>56</v>
      </c>
      <c r="BS24">
        <f>AB24*Summary!AL25</f>
        <v>52</v>
      </c>
      <c r="BT24">
        <f>AC24*Summary!AM25</f>
        <v>48</v>
      </c>
      <c r="BU24">
        <f>AD24*Summary!AN25</f>
        <v>49</v>
      </c>
      <c r="BV24">
        <f>AE24*Summary!AO25</f>
        <v>52</v>
      </c>
      <c r="BW24">
        <f>AF24*Summary!AP25</f>
        <v>44</v>
      </c>
      <c r="BX24">
        <f>AG24*Summary!AQ25</f>
        <v>36</v>
      </c>
      <c r="BY24">
        <f>AH24*Summary!AR25</f>
        <v>53</v>
      </c>
      <c r="BZ24">
        <f>AI24*Summary!AS25</f>
        <v>49</v>
      </c>
      <c r="CA24">
        <f>AJ24*Summary!AT25</f>
        <v>51</v>
      </c>
      <c r="CB24">
        <f>AK24*Summary!AU25</f>
        <v>43</v>
      </c>
      <c r="CC24">
        <f>AL24*Summary!AV25</f>
        <v>45</v>
      </c>
      <c r="CD24">
        <f>AM24*Summary!AW25</f>
        <v>51</v>
      </c>
    </row>
    <row r="25" spans="1:82" x14ac:dyDescent="0.25">
      <c r="A25">
        <v>24</v>
      </c>
      <c r="B25">
        <f>IF(Summary!L26&gt;20,1,0)</f>
        <v>1</v>
      </c>
      <c r="C25">
        <f>IF(Summary!M26&gt;20,1,0)</f>
        <v>1</v>
      </c>
      <c r="D25">
        <f>IF(Summary!N26&gt;20,1,0)</f>
        <v>0</v>
      </c>
      <c r="E25">
        <f>IF(Summary!O26&gt;20,1,0)</f>
        <v>1</v>
      </c>
      <c r="F25">
        <f>IF(Summary!P26&gt;20,1,0)</f>
        <v>1</v>
      </c>
      <c r="G25">
        <f>IF(Summary!Q26&gt;20,1,0)</f>
        <v>1</v>
      </c>
      <c r="H25">
        <f>IF(Summary!R26&gt;20,1,0)</f>
        <v>1</v>
      </c>
      <c r="I25">
        <f>IF(Summary!S26&gt;20,1,0)</f>
        <v>1</v>
      </c>
      <c r="J25">
        <f>IF(Summary!T26&gt;20,1,0)</f>
        <v>1</v>
      </c>
      <c r="K25">
        <f>IF(Summary!U26&gt;20,1,0)</f>
        <v>1</v>
      </c>
      <c r="L25">
        <f>IF(Summary!V26&gt;20,1,0)</f>
        <v>1</v>
      </c>
      <c r="M25">
        <f>IF(Summary!W26&gt;20,1,0)</f>
        <v>1</v>
      </c>
      <c r="N25">
        <f>IF(Summary!X26&gt;20,1,0)</f>
        <v>1</v>
      </c>
      <c r="O25">
        <f>IF(Summary!Y26&gt;20,1,0)</f>
        <v>1</v>
      </c>
      <c r="P25">
        <f>IF(Summary!Z26&gt;20,1,0)</f>
        <v>1</v>
      </c>
      <c r="Q25">
        <f>IF(Summary!AA26&gt;20,1,0)</f>
        <v>0</v>
      </c>
      <c r="R25">
        <f>IF(Summary!AB26&gt;20,1,0)</f>
        <v>1</v>
      </c>
      <c r="S25">
        <f>IF(Summary!AC26&gt;20,1,0)</f>
        <v>1</v>
      </c>
      <c r="T25">
        <f>IF(Summary!AD26&gt;20,1,0)</f>
        <v>1</v>
      </c>
      <c r="U25">
        <f>IF(Summary!AE26&gt;20,1,0)</f>
        <v>1</v>
      </c>
      <c r="V25">
        <f>IF(Summary!AF26&gt;20,1,0)</f>
        <v>1</v>
      </c>
      <c r="W25">
        <f>IF(Summary!AG26&gt;20,1,0)</f>
        <v>1</v>
      </c>
      <c r="X25">
        <f>IF(Summary!AH26&gt;20,1,0)</f>
        <v>1</v>
      </c>
      <c r="Y25">
        <f>IF(Summary!AI26&gt;20,1,0)</f>
        <v>1</v>
      </c>
      <c r="Z25">
        <f>IF(Summary!AJ26&gt;20,1,0)</f>
        <v>1</v>
      </c>
      <c r="AA25">
        <f>IF(Summary!AK26&gt;20,1,0)</f>
        <v>1</v>
      </c>
      <c r="AB25">
        <f>IF(Summary!AL26&gt;20,1,0)</f>
        <v>1</v>
      </c>
      <c r="AC25">
        <f>IF(Summary!AM26&gt;20,1,0)</f>
        <v>1</v>
      </c>
      <c r="AD25">
        <f>IF(Summary!AN26&gt;20,1,0)</f>
        <v>1</v>
      </c>
      <c r="AE25">
        <f>IF(Summary!AO26&gt;20,1,0)</f>
        <v>1</v>
      </c>
      <c r="AF25">
        <f>IF(Summary!AP26&gt;20,1,0)</f>
        <v>1</v>
      </c>
      <c r="AG25">
        <f>IF(Summary!AQ26&gt;20,1,0)</f>
        <v>1</v>
      </c>
      <c r="AH25">
        <f>IF(Summary!AR26&gt;20,1,0)</f>
        <v>1</v>
      </c>
      <c r="AI25">
        <f>IF(Summary!AS26&gt;20,1,0)</f>
        <v>1</v>
      </c>
      <c r="AJ25">
        <f>IF(Summary!AT26&gt;20,1,0)</f>
        <v>1</v>
      </c>
      <c r="AK25">
        <f>IF(Summary!AU26&gt;20,1,0)</f>
        <v>1</v>
      </c>
      <c r="AL25">
        <f>IF(Summary!AV26&gt;20,1,0)</f>
        <v>1</v>
      </c>
      <c r="AM25">
        <f>IF(Summary!AW26&gt;20,1,0)</f>
        <v>1</v>
      </c>
      <c r="AO25">
        <v>24</v>
      </c>
      <c r="AP25">
        <f t="shared" si="0"/>
        <v>36</v>
      </c>
      <c r="AQ25">
        <f t="shared" si="1"/>
        <v>1594</v>
      </c>
      <c r="AS25">
        <f>B25*Summary!L26</f>
        <v>55</v>
      </c>
      <c r="AT25">
        <f>C25*Summary!M26</f>
        <v>33</v>
      </c>
      <c r="AU25">
        <f>D25*Summary!N26</f>
        <v>0</v>
      </c>
      <c r="AV25">
        <f>E25*Summary!O26</f>
        <v>47</v>
      </c>
      <c r="AW25">
        <f>F25*Summary!P26</f>
        <v>30</v>
      </c>
      <c r="AX25">
        <f>G25*Summary!Q26</f>
        <v>44</v>
      </c>
      <c r="AY25">
        <f>H25*Summary!R26</f>
        <v>49</v>
      </c>
      <c r="AZ25">
        <f>I25*Summary!S26</f>
        <v>46</v>
      </c>
      <c r="BA25">
        <f>J25*Summary!T26</f>
        <v>42</v>
      </c>
      <c r="BB25">
        <f>K25*Summary!U26</f>
        <v>45</v>
      </c>
      <c r="BC25">
        <f>L25*Summary!V26</f>
        <v>43</v>
      </c>
      <c r="BD25">
        <f>M25*Summary!W26</f>
        <v>46</v>
      </c>
      <c r="BE25">
        <f>N25*Summary!X26</f>
        <v>42</v>
      </c>
      <c r="BF25">
        <f>O25*Summary!Y26</f>
        <v>46</v>
      </c>
      <c r="BG25">
        <f>P25*Summary!Z26</f>
        <v>48</v>
      </c>
      <c r="BH25">
        <f>Q25*Summary!AA26</f>
        <v>0</v>
      </c>
      <c r="BI25">
        <f>R25*Summary!AB26</f>
        <v>49</v>
      </c>
      <c r="BJ25">
        <f>S25*Summary!AC26</f>
        <v>26</v>
      </c>
      <c r="BK25">
        <f>T25*Summary!AD26</f>
        <v>48</v>
      </c>
      <c r="BL25">
        <f>U25*Summary!AE26</f>
        <v>42</v>
      </c>
      <c r="BM25">
        <f>V25*Summary!AF26</f>
        <v>42</v>
      </c>
      <c r="BN25">
        <f>W25*Summary!AG26</f>
        <v>37</v>
      </c>
      <c r="BO25">
        <f>X25*Summary!AH26</f>
        <v>51</v>
      </c>
      <c r="BP25">
        <f>Y25*Summary!AI26</f>
        <v>59</v>
      </c>
      <c r="BQ25">
        <f>Z25*Summary!AJ26</f>
        <v>41</v>
      </c>
      <c r="BR25">
        <f>AA25*Summary!AK26</f>
        <v>45</v>
      </c>
      <c r="BS25">
        <f>AB25*Summary!AL26</f>
        <v>45</v>
      </c>
      <c r="BT25">
        <f>AC25*Summary!AM26</f>
        <v>46</v>
      </c>
      <c r="BU25">
        <f>AD25*Summary!AN26</f>
        <v>50</v>
      </c>
      <c r="BV25">
        <f>AE25*Summary!AO26</f>
        <v>49</v>
      </c>
      <c r="BW25">
        <f>AF25*Summary!AP26</f>
        <v>45</v>
      </c>
      <c r="BX25">
        <f>AG25*Summary!AQ26</f>
        <v>35</v>
      </c>
      <c r="BY25">
        <f>AH25*Summary!AR26</f>
        <v>49</v>
      </c>
      <c r="BZ25">
        <f>AI25*Summary!AS26</f>
        <v>46</v>
      </c>
      <c r="CA25">
        <f>AJ25*Summary!AT26</f>
        <v>47</v>
      </c>
      <c r="CB25">
        <f>AK25*Summary!AU26</f>
        <v>29</v>
      </c>
      <c r="CC25">
        <f>AL25*Summary!AV26</f>
        <v>46</v>
      </c>
      <c r="CD25">
        <f>AM25*Summary!AW26</f>
        <v>51</v>
      </c>
    </row>
    <row r="26" spans="1:82" x14ac:dyDescent="0.25">
      <c r="A26">
        <v>25</v>
      </c>
      <c r="B26">
        <f>IF(Summary!L27&gt;20,1,0)</f>
        <v>1</v>
      </c>
      <c r="C26">
        <f>IF(Summary!M27&gt;20,1,0)</f>
        <v>1</v>
      </c>
      <c r="D26">
        <f>IF(Summary!N27&gt;20,1,0)</f>
        <v>0</v>
      </c>
      <c r="E26">
        <f>IF(Summary!O27&gt;20,1,0)</f>
        <v>1</v>
      </c>
      <c r="F26">
        <f>IF(Summary!P27&gt;20,1,0)</f>
        <v>1</v>
      </c>
      <c r="G26">
        <f>IF(Summary!Q27&gt;20,1,0)</f>
        <v>1</v>
      </c>
      <c r="H26">
        <f>IF(Summary!R27&gt;20,1,0)</f>
        <v>1</v>
      </c>
      <c r="I26">
        <f>IF(Summary!S27&gt;20,1,0)</f>
        <v>1</v>
      </c>
      <c r="J26">
        <f>IF(Summary!T27&gt;20,1,0)</f>
        <v>1</v>
      </c>
      <c r="K26">
        <f>IF(Summary!U27&gt;20,1,0)</f>
        <v>1</v>
      </c>
      <c r="L26">
        <f>IF(Summary!V27&gt;20,1,0)</f>
        <v>1</v>
      </c>
      <c r="M26">
        <f>IF(Summary!W27&gt;20,1,0)</f>
        <v>1</v>
      </c>
      <c r="N26">
        <f>IF(Summary!X27&gt;20,1,0)</f>
        <v>1</v>
      </c>
      <c r="O26">
        <f>IF(Summary!Y27&gt;20,1,0)</f>
        <v>1</v>
      </c>
      <c r="P26">
        <f>IF(Summary!Z27&gt;20,1,0)</f>
        <v>1</v>
      </c>
      <c r="Q26">
        <f>IF(Summary!AA27&gt;20,1,0)</f>
        <v>0</v>
      </c>
      <c r="R26">
        <f>IF(Summary!AB27&gt;20,1,0)</f>
        <v>1</v>
      </c>
      <c r="S26">
        <f>IF(Summary!AC27&gt;20,1,0)</f>
        <v>0</v>
      </c>
      <c r="T26">
        <f>IF(Summary!AD27&gt;20,1,0)</f>
        <v>1</v>
      </c>
      <c r="U26">
        <f>IF(Summary!AE27&gt;20,1,0)</f>
        <v>1</v>
      </c>
      <c r="V26">
        <f>IF(Summary!AF27&gt;20,1,0)</f>
        <v>1</v>
      </c>
      <c r="W26">
        <f>IF(Summary!AG27&gt;20,1,0)</f>
        <v>1</v>
      </c>
      <c r="X26">
        <f>IF(Summary!AH27&gt;20,1,0)</f>
        <v>1</v>
      </c>
      <c r="Y26">
        <f>IF(Summary!AI27&gt;20,1,0)</f>
        <v>1</v>
      </c>
      <c r="Z26">
        <f>IF(Summary!AJ27&gt;20,1,0)</f>
        <v>1</v>
      </c>
      <c r="AA26">
        <f>IF(Summary!AK27&gt;20,1,0)</f>
        <v>1</v>
      </c>
      <c r="AB26">
        <f>IF(Summary!AL27&gt;20,1,0)</f>
        <v>1</v>
      </c>
      <c r="AC26">
        <f>IF(Summary!AM27&gt;20,1,0)</f>
        <v>1</v>
      </c>
      <c r="AD26">
        <f>IF(Summary!AN27&gt;20,1,0)</f>
        <v>1</v>
      </c>
      <c r="AE26">
        <f>IF(Summary!AO27&gt;20,1,0)</f>
        <v>1</v>
      </c>
      <c r="AF26">
        <f>IF(Summary!AP27&gt;20,1,0)</f>
        <v>1</v>
      </c>
      <c r="AG26">
        <f>IF(Summary!AQ27&gt;20,1,0)</f>
        <v>1</v>
      </c>
      <c r="AH26">
        <f>IF(Summary!AR27&gt;20,1,0)</f>
        <v>1</v>
      </c>
      <c r="AI26">
        <f>IF(Summary!AS27&gt;20,1,0)</f>
        <v>1</v>
      </c>
      <c r="AJ26">
        <f>IF(Summary!AT27&gt;20,1,0)</f>
        <v>1</v>
      </c>
      <c r="AK26">
        <f>IF(Summary!AU27&gt;20,1,0)</f>
        <v>1</v>
      </c>
      <c r="AL26">
        <f>IF(Summary!AV27&gt;20,1,0)</f>
        <v>1</v>
      </c>
      <c r="AM26">
        <f>IF(Summary!AW27&gt;20,1,0)</f>
        <v>1</v>
      </c>
      <c r="AO26">
        <v>25</v>
      </c>
      <c r="AP26">
        <f t="shared" si="0"/>
        <v>35</v>
      </c>
      <c r="AQ26">
        <f t="shared" si="1"/>
        <v>1580</v>
      </c>
      <c r="AS26">
        <f>B26*Summary!L27</f>
        <v>55</v>
      </c>
      <c r="AT26">
        <f>C26*Summary!M27</f>
        <v>39</v>
      </c>
      <c r="AU26">
        <f>D26*Summary!N27</f>
        <v>0</v>
      </c>
      <c r="AV26">
        <f>E26*Summary!O27</f>
        <v>50</v>
      </c>
      <c r="AW26">
        <f>F26*Summary!P27</f>
        <v>29</v>
      </c>
      <c r="AX26">
        <f>G26*Summary!Q27</f>
        <v>41</v>
      </c>
      <c r="AY26">
        <f>H26*Summary!R27</f>
        <v>49</v>
      </c>
      <c r="AZ26">
        <f>I26*Summary!S27</f>
        <v>32</v>
      </c>
      <c r="BA26">
        <f>J26*Summary!T27</f>
        <v>50</v>
      </c>
      <c r="BB26">
        <f>K26*Summary!U27</f>
        <v>45</v>
      </c>
      <c r="BC26">
        <f>L26*Summary!V27</f>
        <v>45</v>
      </c>
      <c r="BD26">
        <f>M26*Summary!W27</f>
        <v>48</v>
      </c>
      <c r="BE26">
        <f>N26*Summary!X27</f>
        <v>47</v>
      </c>
      <c r="BF26">
        <f>O26*Summary!Y27</f>
        <v>50</v>
      </c>
      <c r="BG26">
        <f>P26*Summary!Z27</f>
        <v>45</v>
      </c>
      <c r="BH26">
        <f>Q26*Summary!AA27</f>
        <v>0</v>
      </c>
      <c r="BI26">
        <f>R26*Summary!AB27</f>
        <v>47</v>
      </c>
      <c r="BJ26">
        <f>S26*Summary!AC27</f>
        <v>0</v>
      </c>
      <c r="BK26">
        <f>T26*Summary!AD27</f>
        <v>48</v>
      </c>
      <c r="BL26">
        <f>U26*Summary!AE27</f>
        <v>45</v>
      </c>
      <c r="BM26">
        <f>V26*Summary!AF27</f>
        <v>44</v>
      </c>
      <c r="BN26">
        <f>W26*Summary!AG27</f>
        <v>51</v>
      </c>
      <c r="BO26">
        <f>X26*Summary!AH27</f>
        <v>48</v>
      </c>
      <c r="BP26">
        <f>Y26*Summary!AI27</f>
        <v>40</v>
      </c>
      <c r="BQ26">
        <f>Z26*Summary!AJ27</f>
        <v>52</v>
      </c>
      <c r="BR26">
        <f>AA26*Summary!AK27</f>
        <v>50</v>
      </c>
      <c r="BS26">
        <f>AB26*Summary!AL27</f>
        <v>52</v>
      </c>
      <c r="BT26">
        <f>AC26*Summary!AM27</f>
        <v>44</v>
      </c>
      <c r="BU26">
        <f>AD26*Summary!AN27</f>
        <v>47</v>
      </c>
      <c r="BV26">
        <f>AE26*Summary!AO27</f>
        <v>50</v>
      </c>
      <c r="BW26">
        <f>AF26*Summary!AP27</f>
        <v>39</v>
      </c>
      <c r="BX26">
        <f>AG26*Summary!AQ27</f>
        <v>26</v>
      </c>
      <c r="BY26">
        <f>AH26*Summary!AR27</f>
        <v>45</v>
      </c>
      <c r="BZ26">
        <f>AI26*Summary!AS27</f>
        <v>46</v>
      </c>
      <c r="CA26">
        <f>AJ26*Summary!AT27</f>
        <v>44</v>
      </c>
      <c r="CB26">
        <f>AK26*Summary!AU27</f>
        <v>41</v>
      </c>
      <c r="CC26">
        <f>AL26*Summary!AV27</f>
        <v>47</v>
      </c>
      <c r="CD26">
        <f>AM26*Summary!AW27</f>
        <v>49</v>
      </c>
    </row>
    <row r="27" spans="1:82" x14ac:dyDescent="0.25">
      <c r="A27">
        <v>26</v>
      </c>
      <c r="B27">
        <f>IF(Summary!L28&gt;20,1,0)</f>
        <v>1</v>
      </c>
      <c r="C27">
        <f>IF(Summary!M28&gt;20,1,0)</f>
        <v>1</v>
      </c>
      <c r="D27">
        <f>IF(Summary!N28&gt;20,1,0)</f>
        <v>0</v>
      </c>
      <c r="E27">
        <f>IF(Summary!O28&gt;20,1,0)</f>
        <v>1</v>
      </c>
      <c r="F27">
        <f>IF(Summary!P28&gt;20,1,0)</f>
        <v>1</v>
      </c>
      <c r="G27">
        <f>IF(Summary!Q28&gt;20,1,0)</f>
        <v>1</v>
      </c>
      <c r="H27">
        <f>IF(Summary!R28&gt;20,1,0)</f>
        <v>1</v>
      </c>
      <c r="I27">
        <f>IF(Summary!S28&gt;20,1,0)</f>
        <v>1</v>
      </c>
      <c r="J27">
        <f>IF(Summary!T28&gt;20,1,0)</f>
        <v>1</v>
      </c>
      <c r="K27">
        <f>IF(Summary!U28&gt;20,1,0)</f>
        <v>1</v>
      </c>
      <c r="L27">
        <f>IF(Summary!V28&gt;20,1,0)</f>
        <v>1</v>
      </c>
      <c r="M27">
        <f>IF(Summary!W28&gt;20,1,0)</f>
        <v>1</v>
      </c>
      <c r="N27">
        <f>IF(Summary!X28&gt;20,1,0)</f>
        <v>1</v>
      </c>
      <c r="O27">
        <f>IF(Summary!Y28&gt;20,1,0)</f>
        <v>1</v>
      </c>
      <c r="P27">
        <f>IF(Summary!Z28&gt;20,1,0)</f>
        <v>1</v>
      </c>
      <c r="Q27">
        <f>IF(Summary!AA28&gt;20,1,0)</f>
        <v>0</v>
      </c>
      <c r="R27">
        <f>IF(Summary!AB28&gt;20,1,0)</f>
        <v>1</v>
      </c>
      <c r="S27">
        <f>IF(Summary!AC28&gt;20,1,0)</f>
        <v>0</v>
      </c>
      <c r="T27">
        <f>IF(Summary!AD28&gt;20,1,0)</f>
        <v>1</v>
      </c>
      <c r="U27">
        <f>IF(Summary!AE28&gt;20,1,0)</f>
        <v>1</v>
      </c>
      <c r="V27">
        <f>IF(Summary!AF28&gt;20,1,0)</f>
        <v>1</v>
      </c>
      <c r="W27">
        <f>IF(Summary!AG28&gt;20,1,0)</f>
        <v>1</v>
      </c>
      <c r="X27">
        <f>IF(Summary!AH28&gt;20,1,0)</f>
        <v>1</v>
      </c>
      <c r="Y27">
        <f>IF(Summary!AI28&gt;20,1,0)</f>
        <v>1</v>
      </c>
      <c r="Z27">
        <f>IF(Summary!AJ28&gt;20,1,0)</f>
        <v>1</v>
      </c>
      <c r="AA27">
        <f>IF(Summary!AK28&gt;20,1,0)</f>
        <v>1</v>
      </c>
      <c r="AB27">
        <f>IF(Summary!AL28&gt;20,1,0)</f>
        <v>1</v>
      </c>
      <c r="AC27">
        <f>IF(Summary!AM28&gt;20,1,0)</f>
        <v>1</v>
      </c>
      <c r="AD27">
        <f>IF(Summary!AN28&gt;20,1,0)</f>
        <v>1</v>
      </c>
      <c r="AE27">
        <f>IF(Summary!AO28&gt;20,1,0)</f>
        <v>1</v>
      </c>
      <c r="AF27">
        <f>IF(Summary!AP28&gt;20,1,0)</f>
        <v>1</v>
      </c>
      <c r="AG27">
        <f>IF(Summary!AQ28&gt;20,1,0)</f>
        <v>1</v>
      </c>
      <c r="AH27">
        <f>IF(Summary!AR28&gt;20,1,0)</f>
        <v>1</v>
      </c>
      <c r="AI27">
        <f>IF(Summary!AS28&gt;20,1,0)</f>
        <v>1</v>
      </c>
      <c r="AJ27">
        <f>IF(Summary!AT28&gt;20,1,0)</f>
        <v>1</v>
      </c>
      <c r="AK27">
        <f>IF(Summary!AU28&gt;20,1,0)</f>
        <v>1</v>
      </c>
      <c r="AL27">
        <f>IF(Summary!AV28&gt;20,1,0)</f>
        <v>1</v>
      </c>
      <c r="AM27">
        <f>IF(Summary!AW28&gt;20,1,0)</f>
        <v>1</v>
      </c>
      <c r="AO27">
        <v>26</v>
      </c>
      <c r="AP27">
        <f t="shared" si="0"/>
        <v>35</v>
      </c>
      <c r="AQ27">
        <f t="shared" si="1"/>
        <v>1542</v>
      </c>
      <c r="AS27">
        <f>B27*Summary!L28</f>
        <v>48</v>
      </c>
      <c r="AT27">
        <f>C27*Summary!M28</f>
        <v>32</v>
      </c>
      <c r="AU27">
        <f>D27*Summary!N28</f>
        <v>0</v>
      </c>
      <c r="AV27">
        <f>E27*Summary!O28</f>
        <v>47</v>
      </c>
      <c r="AW27">
        <f>F27*Summary!P28</f>
        <v>31</v>
      </c>
      <c r="AX27">
        <f>G27*Summary!Q28</f>
        <v>40</v>
      </c>
      <c r="AY27">
        <f>H27*Summary!R28</f>
        <v>53</v>
      </c>
      <c r="AZ27">
        <f>I27*Summary!S28</f>
        <v>37</v>
      </c>
      <c r="BA27">
        <f>J27*Summary!T28</f>
        <v>52</v>
      </c>
      <c r="BB27">
        <f>K27*Summary!U28</f>
        <v>42</v>
      </c>
      <c r="BC27">
        <f>L27*Summary!V28</f>
        <v>42</v>
      </c>
      <c r="BD27">
        <f>M27*Summary!W28</f>
        <v>46</v>
      </c>
      <c r="BE27">
        <f>N27*Summary!X28</f>
        <v>33</v>
      </c>
      <c r="BF27">
        <f>O27*Summary!Y28</f>
        <v>52</v>
      </c>
      <c r="BG27">
        <f>P27*Summary!Z28</f>
        <v>50</v>
      </c>
      <c r="BH27">
        <f>Q27*Summary!AA28</f>
        <v>0</v>
      </c>
      <c r="BI27">
        <f>R27*Summary!AB28</f>
        <v>53</v>
      </c>
      <c r="BJ27">
        <f>S27*Summary!AC28</f>
        <v>0</v>
      </c>
      <c r="BK27">
        <f>T27*Summary!AD28</f>
        <v>49</v>
      </c>
      <c r="BL27">
        <f>U27*Summary!AE28</f>
        <v>41</v>
      </c>
      <c r="BM27">
        <f>V27*Summary!AF28</f>
        <v>47</v>
      </c>
      <c r="BN27">
        <f>W27*Summary!AG28</f>
        <v>36</v>
      </c>
      <c r="BO27">
        <f>X27*Summary!AH28</f>
        <v>48</v>
      </c>
      <c r="BP27">
        <f>Y27*Summary!AI28</f>
        <v>49</v>
      </c>
      <c r="BQ27">
        <f>Z27*Summary!AJ28</f>
        <v>45</v>
      </c>
      <c r="BR27">
        <f>AA27*Summary!AK28</f>
        <v>37</v>
      </c>
      <c r="BS27">
        <f>AB27*Summary!AL28</f>
        <v>44</v>
      </c>
      <c r="BT27">
        <f>AC27*Summary!AM28</f>
        <v>44</v>
      </c>
      <c r="BU27">
        <f>AD27*Summary!AN28</f>
        <v>46</v>
      </c>
      <c r="BV27">
        <f>AE27*Summary!AO28</f>
        <v>44</v>
      </c>
      <c r="BW27">
        <f>AF27*Summary!AP28</f>
        <v>47</v>
      </c>
      <c r="BX27">
        <f>AG27*Summary!AQ28</f>
        <v>29</v>
      </c>
      <c r="BY27">
        <f>AH27*Summary!AR28</f>
        <v>49</v>
      </c>
      <c r="BZ27">
        <f>AI27*Summary!AS28</f>
        <v>49</v>
      </c>
      <c r="CA27">
        <f>AJ27*Summary!AT28</f>
        <v>49</v>
      </c>
      <c r="CB27">
        <f>AK27*Summary!AU28</f>
        <v>37</v>
      </c>
      <c r="CC27">
        <f>AL27*Summary!AV28</f>
        <v>44</v>
      </c>
      <c r="CD27">
        <f>AM27*Summary!AW28</f>
        <v>50</v>
      </c>
    </row>
    <row r="28" spans="1:82" x14ac:dyDescent="0.25">
      <c r="A28">
        <v>27</v>
      </c>
      <c r="B28">
        <f>IF(Summary!L29&gt;20,1,0)</f>
        <v>1</v>
      </c>
      <c r="C28">
        <f>IF(Summary!M29&gt;20,1,0)</f>
        <v>1</v>
      </c>
      <c r="D28">
        <f>IF(Summary!N29&gt;20,1,0)</f>
        <v>0</v>
      </c>
      <c r="E28">
        <f>IF(Summary!O29&gt;20,1,0)</f>
        <v>1</v>
      </c>
      <c r="F28">
        <f>IF(Summary!P29&gt;20,1,0)</f>
        <v>1</v>
      </c>
      <c r="G28">
        <f>IF(Summary!Q29&gt;20,1,0)</f>
        <v>1</v>
      </c>
      <c r="H28">
        <f>IF(Summary!R29&gt;20,1,0)</f>
        <v>1</v>
      </c>
      <c r="I28">
        <f>IF(Summary!S29&gt;20,1,0)</f>
        <v>1</v>
      </c>
      <c r="J28">
        <f>IF(Summary!T29&gt;20,1,0)</f>
        <v>1</v>
      </c>
      <c r="K28">
        <f>IF(Summary!U29&gt;20,1,0)</f>
        <v>1</v>
      </c>
      <c r="L28">
        <f>IF(Summary!V29&gt;20,1,0)</f>
        <v>1</v>
      </c>
      <c r="M28">
        <f>IF(Summary!W29&gt;20,1,0)</f>
        <v>1</v>
      </c>
      <c r="N28">
        <f>IF(Summary!X29&gt;20,1,0)</f>
        <v>1</v>
      </c>
      <c r="O28">
        <f>IF(Summary!Y29&gt;20,1,0)</f>
        <v>1</v>
      </c>
      <c r="P28">
        <f>IF(Summary!Z29&gt;20,1,0)</f>
        <v>1</v>
      </c>
      <c r="Q28">
        <f>IF(Summary!AA29&gt;20,1,0)</f>
        <v>0</v>
      </c>
      <c r="R28">
        <f>IF(Summary!AB29&gt;20,1,0)</f>
        <v>1</v>
      </c>
      <c r="S28">
        <f>IF(Summary!AC29&gt;20,1,0)</f>
        <v>0</v>
      </c>
      <c r="T28">
        <f>IF(Summary!AD29&gt;20,1,0)</f>
        <v>1</v>
      </c>
      <c r="U28">
        <f>IF(Summary!AE29&gt;20,1,0)</f>
        <v>1</v>
      </c>
      <c r="V28">
        <f>IF(Summary!AF29&gt;20,1,0)</f>
        <v>1</v>
      </c>
      <c r="W28">
        <f>IF(Summary!AG29&gt;20,1,0)</f>
        <v>0</v>
      </c>
      <c r="X28">
        <f>IF(Summary!AH29&gt;20,1,0)</f>
        <v>1</v>
      </c>
      <c r="Y28">
        <f>IF(Summary!AI29&gt;20,1,0)</f>
        <v>1</v>
      </c>
      <c r="Z28">
        <f>IF(Summary!AJ29&gt;20,1,0)</f>
        <v>1</v>
      </c>
      <c r="AA28">
        <f>IF(Summary!AK29&gt;20,1,0)</f>
        <v>1</v>
      </c>
      <c r="AB28">
        <f>IF(Summary!AL29&gt;20,1,0)</f>
        <v>1</v>
      </c>
      <c r="AC28">
        <f>IF(Summary!AM29&gt;20,1,0)</f>
        <v>1</v>
      </c>
      <c r="AD28">
        <f>IF(Summary!AN29&gt;20,1,0)</f>
        <v>1</v>
      </c>
      <c r="AE28">
        <f>IF(Summary!AO29&gt;20,1,0)</f>
        <v>1</v>
      </c>
      <c r="AF28">
        <f>IF(Summary!AP29&gt;20,1,0)</f>
        <v>1</v>
      </c>
      <c r="AG28">
        <f>IF(Summary!AQ29&gt;20,1,0)</f>
        <v>1</v>
      </c>
      <c r="AH28">
        <f>IF(Summary!AR29&gt;20,1,0)</f>
        <v>1</v>
      </c>
      <c r="AI28">
        <f>IF(Summary!AS29&gt;20,1,0)</f>
        <v>1</v>
      </c>
      <c r="AJ28">
        <f>IF(Summary!AT29&gt;20,1,0)</f>
        <v>1</v>
      </c>
      <c r="AK28">
        <f>IF(Summary!AU29&gt;20,1,0)</f>
        <v>1</v>
      </c>
      <c r="AL28">
        <f>IF(Summary!AV29&gt;20,1,0)</f>
        <v>1</v>
      </c>
      <c r="AM28">
        <f>IF(Summary!AW29&gt;20,1,0)</f>
        <v>1</v>
      </c>
      <c r="AO28">
        <v>27</v>
      </c>
      <c r="AP28">
        <f t="shared" si="0"/>
        <v>34</v>
      </c>
      <c r="AQ28">
        <f t="shared" si="1"/>
        <v>1577</v>
      </c>
      <c r="AS28">
        <f>B28*Summary!L29</f>
        <v>61</v>
      </c>
      <c r="AT28">
        <f>C28*Summary!M29</f>
        <v>44</v>
      </c>
      <c r="AU28">
        <f>D28*Summary!N29</f>
        <v>0</v>
      </c>
      <c r="AV28">
        <f>E28*Summary!O29</f>
        <v>50</v>
      </c>
      <c r="AW28">
        <f>F28*Summary!P29</f>
        <v>32</v>
      </c>
      <c r="AX28">
        <f>G28*Summary!Q29</f>
        <v>42</v>
      </c>
      <c r="AY28">
        <f>H28*Summary!R29</f>
        <v>49</v>
      </c>
      <c r="AZ28">
        <f>I28*Summary!S29</f>
        <v>43</v>
      </c>
      <c r="BA28">
        <f>J28*Summary!T29</f>
        <v>49</v>
      </c>
      <c r="BB28">
        <f>K28*Summary!U29</f>
        <v>47</v>
      </c>
      <c r="BC28">
        <f>L28*Summary!V29</f>
        <v>45</v>
      </c>
      <c r="BD28">
        <f>M28*Summary!W29</f>
        <v>48</v>
      </c>
      <c r="BE28">
        <f>N28*Summary!X29</f>
        <v>43</v>
      </c>
      <c r="BF28">
        <f>O28*Summary!Y29</f>
        <v>55</v>
      </c>
      <c r="BG28">
        <f>P28*Summary!Z29</f>
        <v>50</v>
      </c>
      <c r="BH28">
        <f>Q28*Summary!AA29</f>
        <v>0</v>
      </c>
      <c r="BI28">
        <f>R28*Summary!AB29</f>
        <v>54</v>
      </c>
      <c r="BJ28">
        <f>S28*Summary!AC29</f>
        <v>0</v>
      </c>
      <c r="BK28">
        <f>T28*Summary!AD29</f>
        <v>48</v>
      </c>
      <c r="BL28">
        <f>U28*Summary!AE29</f>
        <v>41</v>
      </c>
      <c r="BM28">
        <f>V28*Summary!AF29</f>
        <v>37</v>
      </c>
      <c r="BN28">
        <f>W28*Summary!AG29</f>
        <v>0</v>
      </c>
      <c r="BO28">
        <f>X28*Summary!AH29</f>
        <v>44</v>
      </c>
      <c r="BP28">
        <f>Y28*Summary!AI29</f>
        <v>51</v>
      </c>
      <c r="BQ28">
        <f>Z28*Summary!AJ29</f>
        <v>44</v>
      </c>
      <c r="BR28">
        <f>AA28*Summary!AK29</f>
        <v>50</v>
      </c>
      <c r="BS28">
        <f>AB28*Summary!AL29</f>
        <v>53</v>
      </c>
      <c r="BT28">
        <f>AC28*Summary!AM29</f>
        <v>44</v>
      </c>
      <c r="BU28">
        <f>AD28*Summary!AN29</f>
        <v>49</v>
      </c>
      <c r="BV28">
        <f>AE28*Summary!AO29</f>
        <v>47</v>
      </c>
      <c r="BW28">
        <f>AF28*Summary!AP29</f>
        <v>48</v>
      </c>
      <c r="BX28">
        <f>AG28*Summary!AQ29</f>
        <v>26</v>
      </c>
      <c r="BY28">
        <f>AH28*Summary!AR29</f>
        <v>48</v>
      </c>
      <c r="BZ28">
        <f>AI28*Summary!AS29</f>
        <v>49</v>
      </c>
      <c r="CA28">
        <f>AJ28*Summary!AT29</f>
        <v>51</v>
      </c>
      <c r="CB28">
        <f>AK28*Summary!AU29</f>
        <v>40</v>
      </c>
      <c r="CC28">
        <f>AL28*Summary!AV29</f>
        <v>51</v>
      </c>
      <c r="CD28">
        <f>AM28*Summary!AW29</f>
        <v>44</v>
      </c>
    </row>
    <row r="29" spans="1:82" x14ac:dyDescent="0.25">
      <c r="A29">
        <v>28</v>
      </c>
      <c r="B29">
        <f>IF(Summary!L30&gt;20,1,0)</f>
        <v>1</v>
      </c>
      <c r="C29">
        <f>IF(Summary!M30&gt;20,1,0)</f>
        <v>1</v>
      </c>
      <c r="D29">
        <f>IF(Summary!N30&gt;20,1,0)</f>
        <v>0</v>
      </c>
      <c r="E29">
        <f>IF(Summary!O30&gt;20,1,0)</f>
        <v>1</v>
      </c>
      <c r="F29">
        <f>IF(Summary!P30&gt;20,1,0)</f>
        <v>1</v>
      </c>
      <c r="G29">
        <f>IF(Summary!Q30&gt;20,1,0)</f>
        <v>1</v>
      </c>
      <c r="H29">
        <f>IF(Summary!R30&gt;20,1,0)</f>
        <v>1</v>
      </c>
      <c r="I29">
        <f>IF(Summary!S30&gt;20,1,0)</f>
        <v>1</v>
      </c>
      <c r="J29">
        <f>IF(Summary!T30&gt;20,1,0)</f>
        <v>1</v>
      </c>
      <c r="K29">
        <f>IF(Summary!U30&gt;20,1,0)</f>
        <v>1</v>
      </c>
      <c r="L29">
        <f>IF(Summary!V30&gt;20,1,0)</f>
        <v>1</v>
      </c>
      <c r="M29">
        <f>IF(Summary!W30&gt;20,1,0)</f>
        <v>1</v>
      </c>
      <c r="N29">
        <f>IF(Summary!X30&gt;20,1,0)</f>
        <v>1</v>
      </c>
      <c r="O29">
        <f>IF(Summary!Y30&gt;20,1,0)</f>
        <v>1</v>
      </c>
      <c r="P29">
        <f>IF(Summary!Z30&gt;20,1,0)</f>
        <v>1</v>
      </c>
      <c r="Q29">
        <f>IF(Summary!AA30&gt;20,1,0)</f>
        <v>0</v>
      </c>
      <c r="R29">
        <f>IF(Summary!AB30&gt;20,1,0)</f>
        <v>1</v>
      </c>
      <c r="S29">
        <f>IF(Summary!AC30&gt;20,1,0)</f>
        <v>0</v>
      </c>
      <c r="T29">
        <f>IF(Summary!AD30&gt;20,1,0)</f>
        <v>1</v>
      </c>
      <c r="U29">
        <f>IF(Summary!AE30&gt;20,1,0)</f>
        <v>1</v>
      </c>
      <c r="V29">
        <f>IF(Summary!AF30&gt;20,1,0)</f>
        <v>1</v>
      </c>
      <c r="W29">
        <f>IF(Summary!AG30&gt;20,1,0)</f>
        <v>1</v>
      </c>
      <c r="X29">
        <f>IF(Summary!AH30&gt;20,1,0)</f>
        <v>1</v>
      </c>
      <c r="Y29">
        <f>IF(Summary!AI30&gt;20,1,0)</f>
        <v>1</v>
      </c>
      <c r="Z29">
        <f>IF(Summary!AJ30&gt;20,1,0)</f>
        <v>1</v>
      </c>
      <c r="AA29">
        <f>IF(Summary!AK30&gt;20,1,0)</f>
        <v>1</v>
      </c>
      <c r="AB29">
        <f>IF(Summary!AL30&gt;20,1,0)</f>
        <v>1</v>
      </c>
      <c r="AC29">
        <f>IF(Summary!AM30&gt;20,1,0)</f>
        <v>1</v>
      </c>
      <c r="AD29">
        <f>IF(Summary!AN30&gt;20,1,0)</f>
        <v>1</v>
      </c>
      <c r="AE29">
        <f>IF(Summary!AO30&gt;20,1,0)</f>
        <v>1</v>
      </c>
      <c r="AF29">
        <f>IF(Summary!AP30&gt;20,1,0)</f>
        <v>1</v>
      </c>
      <c r="AG29">
        <f>IF(Summary!AQ30&gt;20,1,0)</f>
        <v>0</v>
      </c>
      <c r="AH29">
        <f>IF(Summary!AR30&gt;20,1,0)</f>
        <v>1</v>
      </c>
      <c r="AI29">
        <f>IF(Summary!AS30&gt;20,1,0)</f>
        <v>1</v>
      </c>
      <c r="AJ29">
        <f>IF(Summary!AT30&gt;20,1,0)</f>
        <v>1</v>
      </c>
      <c r="AK29">
        <f>IF(Summary!AU30&gt;20,1,0)</f>
        <v>1</v>
      </c>
      <c r="AL29">
        <f>IF(Summary!AV30&gt;20,1,0)</f>
        <v>1</v>
      </c>
      <c r="AM29">
        <f>IF(Summary!AW30&gt;20,1,0)</f>
        <v>1</v>
      </c>
      <c r="AO29">
        <v>28</v>
      </c>
      <c r="AP29">
        <f t="shared" si="0"/>
        <v>34</v>
      </c>
      <c r="AQ29">
        <f t="shared" si="1"/>
        <v>1565</v>
      </c>
      <c r="AS29">
        <f>B29*Summary!L30</f>
        <v>58</v>
      </c>
      <c r="AT29">
        <f>C29*Summary!M30</f>
        <v>52</v>
      </c>
      <c r="AU29">
        <f>D29*Summary!N30</f>
        <v>0</v>
      </c>
      <c r="AV29">
        <f>E29*Summary!O30</f>
        <v>46</v>
      </c>
      <c r="AW29">
        <f>F29*Summary!P30</f>
        <v>22</v>
      </c>
      <c r="AX29">
        <f>G29*Summary!Q30</f>
        <v>43</v>
      </c>
      <c r="AY29">
        <f>H29*Summary!R30</f>
        <v>54</v>
      </c>
      <c r="AZ29">
        <f>I29*Summary!S30</f>
        <v>45</v>
      </c>
      <c r="BA29">
        <f>J29*Summary!T30</f>
        <v>56</v>
      </c>
      <c r="BB29">
        <f>K29*Summary!U30</f>
        <v>42</v>
      </c>
      <c r="BC29">
        <f>L29*Summary!V30</f>
        <v>48</v>
      </c>
      <c r="BD29">
        <f>M29*Summary!W30</f>
        <v>44</v>
      </c>
      <c r="BE29">
        <f>N29*Summary!X30</f>
        <v>45</v>
      </c>
      <c r="BF29">
        <f>O29*Summary!Y30</f>
        <v>55</v>
      </c>
      <c r="BG29">
        <f>P29*Summary!Z30</f>
        <v>58</v>
      </c>
      <c r="BH29">
        <f>Q29*Summary!AA30</f>
        <v>0</v>
      </c>
      <c r="BI29">
        <f>R29*Summary!AB30</f>
        <v>51</v>
      </c>
      <c r="BJ29">
        <f>S29*Summary!AC30</f>
        <v>0</v>
      </c>
      <c r="BK29">
        <f>T29*Summary!AD30</f>
        <v>48</v>
      </c>
      <c r="BL29">
        <f>U29*Summary!AE30</f>
        <v>43</v>
      </c>
      <c r="BM29">
        <f>V29*Summary!AF30</f>
        <v>45</v>
      </c>
      <c r="BN29">
        <f>W29*Summary!AG30</f>
        <v>36</v>
      </c>
      <c r="BO29">
        <f>X29*Summary!AH30</f>
        <v>48</v>
      </c>
      <c r="BP29">
        <f>Y29*Summary!AI30</f>
        <v>55</v>
      </c>
      <c r="BQ29">
        <f>Z29*Summary!AJ30</f>
        <v>40</v>
      </c>
      <c r="BR29">
        <f>AA29*Summary!AK30</f>
        <v>48</v>
      </c>
      <c r="BS29">
        <f>AB29*Summary!AL30</f>
        <v>53</v>
      </c>
      <c r="BT29">
        <f>AC29*Summary!AM30</f>
        <v>42</v>
      </c>
      <c r="BU29">
        <f>AD29*Summary!AN30</f>
        <v>49</v>
      </c>
      <c r="BV29">
        <f>AE29*Summary!AO30</f>
        <v>50</v>
      </c>
      <c r="BW29">
        <f>AF29*Summary!AP30</f>
        <v>41</v>
      </c>
      <c r="BX29">
        <f>AG29*Summary!AQ30</f>
        <v>0</v>
      </c>
      <c r="BY29">
        <f>AH29*Summary!AR30</f>
        <v>50</v>
      </c>
      <c r="BZ29">
        <f>AI29*Summary!AS30</f>
        <v>48</v>
      </c>
      <c r="CA29">
        <f>AJ29*Summary!AT30</f>
        <v>43</v>
      </c>
      <c r="CB29">
        <f>AK29*Summary!AU30</f>
        <v>24</v>
      </c>
      <c r="CC29">
        <f>AL29*Summary!AV30</f>
        <v>42</v>
      </c>
      <c r="CD29">
        <f>AM29*Summary!AW30</f>
        <v>41</v>
      </c>
    </row>
    <row r="30" spans="1:82" x14ac:dyDescent="0.25">
      <c r="A30">
        <v>29</v>
      </c>
      <c r="B30">
        <f>IF(Summary!L31&gt;20,1,0)</f>
        <v>1</v>
      </c>
      <c r="C30">
        <f>IF(Summary!M31&gt;20,1,0)</f>
        <v>1</v>
      </c>
      <c r="D30">
        <f>IF(Summary!N31&gt;20,1,0)</f>
        <v>0</v>
      </c>
      <c r="E30">
        <f>IF(Summary!O31&gt;20,1,0)</f>
        <v>1</v>
      </c>
      <c r="F30">
        <f>IF(Summary!P31&gt;20,1,0)</f>
        <v>1</v>
      </c>
      <c r="G30">
        <f>IF(Summary!Q31&gt;20,1,0)</f>
        <v>1</v>
      </c>
      <c r="H30">
        <f>IF(Summary!R31&gt;20,1,0)</f>
        <v>1</v>
      </c>
      <c r="I30">
        <f>IF(Summary!S31&gt;20,1,0)</f>
        <v>1</v>
      </c>
      <c r="J30">
        <f>IF(Summary!T31&gt;20,1,0)</f>
        <v>1</v>
      </c>
      <c r="K30">
        <f>IF(Summary!U31&gt;20,1,0)</f>
        <v>1</v>
      </c>
      <c r="L30">
        <f>IF(Summary!V31&gt;20,1,0)</f>
        <v>1</v>
      </c>
      <c r="M30">
        <f>IF(Summary!W31&gt;20,1,0)</f>
        <v>1</v>
      </c>
      <c r="N30">
        <f>IF(Summary!X31&gt;20,1,0)</f>
        <v>1</v>
      </c>
      <c r="O30">
        <f>IF(Summary!Y31&gt;20,1,0)</f>
        <v>1</v>
      </c>
      <c r="P30">
        <f>IF(Summary!Z31&gt;20,1,0)</f>
        <v>1</v>
      </c>
      <c r="Q30">
        <f>IF(Summary!AA31&gt;20,1,0)</f>
        <v>0</v>
      </c>
      <c r="R30">
        <f>IF(Summary!AB31&gt;20,1,0)</f>
        <v>1</v>
      </c>
      <c r="S30">
        <f>IF(Summary!AC31&gt;20,1,0)</f>
        <v>0</v>
      </c>
      <c r="T30">
        <f>IF(Summary!AD31&gt;20,1,0)</f>
        <v>1</v>
      </c>
      <c r="U30">
        <f>IF(Summary!AE31&gt;20,1,0)</f>
        <v>1</v>
      </c>
      <c r="V30">
        <f>IF(Summary!AF31&gt;20,1,0)</f>
        <v>1</v>
      </c>
      <c r="W30">
        <f>IF(Summary!AG31&gt;20,1,0)</f>
        <v>1</v>
      </c>
      <c r="X30">
        <f>IF(Summary!AH31&gt;20,1,0)</f>
        <v>1</v>
      </c>
      <c r="Y30">
        <f>IF(Summary!AI31&gt;20,1,0)</f>
        <v>1</v>
      </c>
      <c r="Z30">
        <f>IF(Summary!AJ31&gt;20,1,0)</f>
        <v>1</v>
      </c>
      <c r="AA30">
        <f>IF(Summary!AK31&gt;20,1,0)</f>
        <v>1</v>
      </c>
      <c r="AB30">
        <f>IF(Summary!AL31&gt;20,1,0)</f>
        <v>1</v>
      </c>
      <c r="AC30">
        <f>IF(Summary!AM31&gt;20,1,0)</f>
        <v>1</v>
      </c>
      <c r="AD30">
        <f>IF(Summary!AN31&gt;20,1,0)</f>
        <v>1</v>
      </c>
      <c r="AE30">
        <f>IF(Summary!AO31&gt;20,1,0)</f>
        <v>1</v>
      </c>
      <c r="AF30">
        <f>IF(Summary!AP31&gt;20,1,0)</f>
        <v>1</v>
      </c>
      <c r="AG30">
        <f>IF(Summary!AQ31&gt;20,1,0)</f>
        <v>0</v>
      </c>
      <c r="AH30">
        <f>IF(Summary!AR31&gt;20,1,0)</f>
        <v>1</v>
      </c>
      <c r="AI30">
        <f>IF(Summary!AS31&gt;20,1,0)</f>
        <v>1</v>
      </c>
      <c r="AJ30">
        <f>IF(Summary!AT31&gt;20,1,0)</f>
        <v>1</v>
      </c>
      <c r="AK30">
        <f>IF(Summary!AU31&gt;20,1,0)</f>
        <v>1</v>
      </c>
      <c r="AL30">
        <f>IF(Summary!AV31&gt;20,1,0)</f>
        <v>1</v>
      </c>
      <c r="AM30">
        <f>IF(Summary!AW31&gt;20,1,0)</f>
        <v>1</v>
      </c>
      <c r="AO30">
        <v>29</v>
      </c>
      <c r="AP30">
        <f t="shared" si="0"/>
        <v>34</v>
      </c>
      <c r="AQ30">
        <f t="shared" si="1"/>
        <v>1510</v>
      </c>
      <c r="AS30">
        <f>B30*Summary!L31</f>
        <v>57</v>
      </c>
      <c r="AT30">
        <f>C30*Summary!M31</f>
        <v>44</v>
      </c>
      <c r="AU30">
        <f>D30*Summary!N31</f>
        <v>0</v>
      </c>
      <c r="AV30">
        <f>E30*Summary!O31</f>
        <v>45</v>
      </c>
      <c r="AW30">
        <f>F30*Summary!P31</f>
        <v>25</v>
      </c>
      <c r="AX30">
        <f>G30*Summary!Q31</f>
        <v>45</v>
      </c>
      <c r="AY30">
        <f>H30*Summary!R31</f>
        <v>52</v>
      </c>
      <c r="AZ30">
        <f>I30*Summary!S31</f>
        <v>41</v>
      </c>
      <c r="BA30">
        <f>J30*Summary!T31</f>
        <v>58</v>
      </c>
      <c r="BB30">
        <f>K30*Summary!U31</f>
        <v>42</v>
      </c>
      <c r="BC30">
        <f>L30*Summary!V31</f>
        <v>43</v>
      </c>
      <c r="BD30">
        <f>M30*Summary!W31</f>
        <v>44</v>
      </c>
      <c r="BE30">
        <f>N30*Summary!X31</f>
        <v>39</v>
      </c>
      <c r="BF30">
        <f>O30*Summary!Y31</f>
        <v>48</v>
      </c>
      <c r="BG30">
        <f>P30*Summary!Z31</f>
        <v>49</v>
      </c>
      <c r="BH30">
        <f>Q30*Summary!AA31</f>
        <v>0</v>
      </c>
      <c r="BI30">
        <f>R30*Summary!AB31</f>
        <v>50</v>
      </c>
      <c r="BJ30">
        <f>S30*Summary!AC31</f>
        <v>0</v>
      </c>
      <c r="BK30">
        <f>T30*Summary!AD31</f>
        <v>48</v>
      </c>
      <c r="BL30">
        <f>U30*Summary!AE31</f>
        <v>42</v>
      </c>
      <c r="BM30">
        <f>V30*Summary!AF31</f>
        <v>45</v>
      </c>
      <c r="BN30">
        <f>W30*Summary!AG31</f>
        <v>37</v>
      </c>
      <c r="BO30">
        <f>X30*Summary!AH31</f>
        <v>46</v>
      </c>
      <c r="BP30">
        <f>Y30*Summary!AI31</f>
        <v>43</v>
      </c>
      <c r="BQ30">
        <f>Z30*Summary!AJ31</f>
        <v>41</v>
      </c>
      <c r="BR30">
        <f>AA30*Summary!AK31</f>
        <v>43</v>
      </c>
      <c r="BS30">
        <f>AB30*Summary!AL31</f>
        <v>44</v>
      </c>
      <c r="BT30">
        <f>AC30*Summary!AM31</f>
        <v>42</v>
      </c>
      <c r="BU30">
        <f>AD30*Summary!AN31</f>
        <v>46</v>
      </c>
      <c r="BV30">
        <f>AE30*Summary!AO31</f>
        <v>43</v>
      </c>
      <c r="BW30">
        <f>AF30*Summary!AP31</f>
        <v>45</v>
      </c>
      <c r="BX30">
        <f>AG30*Summary!AQ31</f>
        <v>0</v>
      </c>
      <c r="BY30">
        <f>AH30*Summary!AR31</f>
        <v>45</v>
      </c>
      <c r="BZ30">
        <f>AI30*Summary!AS31</f>
        <v>41</v>
      </c>
      <c r="CA30">
        <f>AJ30*Summary!AT31</f>
        <v>48</v>
      </c>
      <c r="CB30">
        <f>AK30*Summary!AU31</f>
        <v>44</v>
      </c>
      <c r="CC30">
        <f>AL30*Summary!AV31</f>
        <v>37</v>
      </c>
      <c r="CD30">
        <f>AM30*Summary!AW31</f>
        <v>48</v>
      </c>
    </row>
    <row r="31" spans="1:82" x14ac:dyDescent="0.25">
      <c r="A31">
        <v>30</v>
      </c>
      <c r="B31">
        <f>IF(Summary!L32&gt;20,1,0)</f>
        <v>1</v>
      </c>
      <c r="C31">
        <f>IF(Summary!M32&gt;20,1,0)</f>
        <v>1</v>
      </c>
      <c r="D31">
        <f>IF(Summary!N32&gt;20,1,0)</f>
        <v>0</v>
      </c>
      <c r="E31">
        <f>IF(Summary!O32&gt;20,1,0)</f>
        <v>1</v>
      </c>
      <c r="F31">
        <f>IF(Summary!P32&gt;20,1,0)</f>
        <v>1</v>
      </c>
      <c r="G31">
        <f>IF(Summary!Q32&gt;20,1,0)</f>
        <v>1</v>
      </c>
      <c r="H31">
        <f>IF(Summary!R32&gt;20,1,0)</f>
        <v>1</v>
      </c>
      <c r="I31">
        <f>IF(Summary!S32&gt;20,1,0)</f>
        <v>1</v>
      </c>
      <c r="J31">
        <f>IF(Summary!T32&gt;20,1,0)</f>
        <v>1</v>
      </c>
      <c r="K31">
        <f>IF(Summary!U32&gt;20,1,0)</f>
        <v>1</v>
      </c>
      <c r="L31">
        <f>IF(Summary!V32&gt;20,1,0)</f>
        <v>1</v>
      </c>
      <c r="M31">
        <f>IF(Summary!W32&gt;20,1,0)</f>
        <v>1</v>
      </c>
      <c r="N31">
        <f>IF(Summary!X32&gt;20,1,0)</f>
        <v>1</v>
      </c>
      <c r="O31">
        <f>IF(Summary!Y32&gt;20,1,0)</f>
        <v>1</v>
      </c>
      <c r="P31">
        <f>IF(Summary!Z32&gt;20,1,0)</f>
        <v>1</v>
      </c>
      <c r="Q31">
        <f>IF(Summary!AA32&gt;20,1,0)</f>
        <v>0</v>
      </c>
      <c r="R31">
        <f>IF(Summary!AB32&gt;20,1,0)</f>
        <v>1</v>
      </c>
      <c r="S31">
        <f>IF(Summary!AC32&gt;20,1,0)</f>
        <v>0</v>
      </c>
      <c r="T31">
        <f>IF(Summary!AD32&gt;20,1,0)</f>
        <v>1</v>
      </c>
      <c r="U31">
        <f>IF(Summary!AE32&gt;20,1,0)</f>
        <v>1</v>
      </c>
      <c r="V31">
        <f>IF(Summary!AF32&gt;20,1,0)</f>
        <v>1</v>
      </c>
      <c r="W31">
        <f>IF(Summary!AG32&gt;20,1,0)</f>
        <v>1</v>
      </c>
      <c r="X31">
        <f>IF(Summary!AH32&gt;20,1,0)</f>
        <v>1</v>
      </c>
      <c r="Y31">
        <f>IF(Summary!AI32&gt;20,1,0)</f>
        <v>1</v>
      </c>
      <c r="Z31">
        <f>IF(Summary!AJ32&gt;20,1,0)</f>
        <v>1</v>
      </c>
      <c r="AA31">
        <f>IF(Summary!AK32&gt;20,1,0)</f>
        <v>1</v>
      </c>
      <c r="AB31">
        <f>IF(Summary!AL32&gt;20,1,0)</f>
        <v>1</v>
      </c>
      <c r="AC31">
        <f>IF(Summary!AM32&gt;20,1,0)</f>
        <v>1</v>
      </c>
      <c r="AD31">
        <f>IF(Summary!AN32&gt;20,1,0)</f>
        <v>1</v>
      </c>
      <c r="AE31">
        <f>IF(Summary!AO32&gt;20,1,0)</f>
        <v>1</v>
      </c>
      <c r="AF31">
        <f>IF(Summary!AP32&gt;20,1,0)</f>
        <v>1</v>
      </c>
      <c r="AG31">
        <f>IF(Summary!AQ32&gt;20,1,0)</f>
        <v>1</v>
      </c>
      <c r="AH31">
        <f>IF(Summary!AR32&gt;20,1,0)</f>
        <v>1</v>
      </c>
      <c r="AI31">
        <f>IF(Summary!AS32&gt;20,1,0)</f>
        <v>1</v>
      </c>
      <c r="AJ31">
        <f>IF(Summary!AT32&gt;20,1,0)</f>
        <v>1</v>
      </c>
      <c r="AK31">
        <f>IF(Summary!AU32&gt;20,1,0)</f>
        <v>1</v>
      </c>
      <c r="AL31">
        <f>IF(Summary!AV32&gt;20,1,0)</f>
        <v>1</v>
      </c>
      <c r="AM31">
        <f>IF(Summary!AW32&gt;20,1,0)</f>
        <v>1</v>
      </c>
      <c r="AO31">
        <v>30</v>
      </c>
      <c r="AP31">
        <f t="shared" si="0"/>
        <v>35</v>
      </c>
      <c r="AQ31">
        <f t="shared" si="1"/>
        <v>1534</v>
      </c>
      <c r="AS31">
        <f>B31*Summary!L32</f>
        <v>47</v>
      </c>
      <c r="AT31">
        <f>C31*Summary!M32</f>
        <v>28</v>
      </c>
      <c r="AU31">
        <f>D31*Summary!N32</f>
        <v>0</v>
      </c>
      <c r="AV31">
        <f>E31*Summary!O32</f>
        <v>51</v>
      </c>
      <c r="AW31">
        <f>F31*Summary!P32</f>
        <v>24</v>
      </c>
      <c r="AX31">
        <f>G31*Summary!Q32</f>
        <v>40</v>
      </c>
      <c r="AY31">
        <f>H31*Summary!R32</f>
        <v>51</v>
      </c>
      <c r="AZ31">
        <f>I31*Summary!S32</f>
        <v>27</v>
      </c>
      <c r="BA31">
        <f>J31*Summary!T32</f>
        <v>55</v>
      </c>
      <c r="BB31">
        <f>K31*Summary!U32</f>
        <v>49</v>
      </c>
      <c r="BC31">
        <f>L31*Summary!V32</f>
        <v>36</v>
      </c>
      <c r="BD31">
        <f>M31*Summary!W32</f>
        <v>45</v>
      </c>
      <c r="BE31">
        <f>N31*Summary!X32</f>
        <v>39</v>
      </c>
      <c r="BF31">
        <f>O31*Summary!Y32</f>
        <v>50</v>
      </c>
      <c r="BG31">
        <f>P31*Summary!Z32</f>
        <v>48</v>
      </c>
      <c r="BH31">
        <f>Q31*Summary!AA32</f>
        <v>0</v>
      </c>
      <c r="BI31">
        <f>R31*Summary!AB32</f>
        <v>41</v>
      </c>
      <c r="BJ31">
        <f>S31*Summary!AC32</f>
        <v>0</v>
      </c>
      <c r="BK31">
        <f>T31*Summary!AD32</f>
        <v>55</v>
      </c>
      <c r="BL31">
        <f>U31*Summary!AE32</f>
        <v>43</v>
      </c>
      <c r="BM31">
        <f>V31*Summary!AF32</f>
        <v>44</v>
      </c>
      <c r="BN31">
        <f>W31*Summary!AG32</f>
        <v>48</v>
      </c>
      <c r="BO31">
        <f>X31*Summary!AH32</f>
        <v>46</v>
      </c>
      <c r="BP31">
        <f>Y31*Summary!AI32</f>
        <v>52</v>
      </c>
      <c r="BQ31">
        <f>Z31*Summary!AJ32</f>
        <v>45</v>
      </c>
      <c r="BR31">
        <f>AA31*Summary!AK32</f>
        <v>44</v>
      </c>
      <c r="BS31">
        <f>AB31*Summary!AL32</f>
        <v>42</v>
      </c>
      <c r="BT31">
        <f>AC31*Summary!AM32</f>
        <v>36</v>
      </c>
      <c r="BU31">
        <f>AD31*Summary!AN32</f>
        <v>51</v>
      </c>
      <c r="BV31">
        <f>AE31*Summary!AO32</f>
        <v>46</v>
      </c>
      <c r="BW31">
        <f>AF31*Summary!AP32</f>
        <v>46</v>
      </c>
      <c r="BX31">
        <f>AG31*Summary!AQ32</f>
        <v>35</v>
      </c>
      <c r="BY31">
        <f>AH31*Summary!AR32</f>
        <v>48</v>
      </c>
      <c r="BZ31">
        <f>AI31*Summary!AS32</f>
        <v>38</v>
      </c>
      <c r="CA31">
        <f>AJ31*Summary!AT32</f>
        <v>54</v>
      </c>
      <c r="CB31">
        <f>AK31*Summary!AU32</f>
        <v>40</v>
      </c>
      <c r="CC31">
        <f>AL31*Summary!AV32</f>
        <v>38</v>
      </c>
      <c r="CD31">
        <f>AM31*Summary!AW32</f>
        <v>52</v>
      </c>
    </row>
    <row r="32" spans="1:82" x14ac:dyDescent="0.25">
      <c r="A32">
        <v>31</v>
      </c>
      <c r="B32">
        <f>IF(Summary!L33&gt;20,1,0)</f>
        <v>1</v>
      </c>
      <c r="C32">
        <f>IF(Summary!M33&gt;20,1,0)</f>
        <v>1</v>
      </c>
      <c r="D32">
        <f>IF(Summary!N33&gt;20,1,0)</f>
        <v>0</v>
      </c>
      <c r="E32">
        <f>IF(Summary!O33&gt;20,1,0)</f>
        <v>1</v>
      </c>
      <c r="F32">
        <f>IF(Summary!P33&gt;20,1,0)</f>
        <v>1</v>
      </c>
      <c r="G32">
        <f>IF(Summary!Q33&gt;20,1,0)</f>
        <v>1</v>
      </c>
      <c r="H32">
        <f>IF(Summary!R33&gt;20,1,0)</f>
        <v>1</v>
      </c>
      <c r="I32">
        <f>IF(Summary!S33&gt;20,1,0)</f>
        <v>1</v>
      </c>
      <c r="J32">
        <f>IF(Summary!T33&gt;20,1,0)</f>
        <v>1</v>
      </c>
      <c r="K32">
        <f>IF(Summary!U33&gt;20,1,0)</f>
        <v>1</v>
      </c>
      <c r="L32">
        <f>IF(Summary!V33&gt;20,1,0)</f>
        <v>1</v>
      </c>
      <c r="M32">
        <f>IF(Summary!W33&gt;20,1,0)</f>
        <v>1</v>
      </c>
      <c r="N32">
        <f>IF(Summary!X33&gt;20,1,0)</f>
        <v>1</v>
      </c>
      <c r="O32">
        <f>IF(Summary!Y33&gt;20,1,0)</f>
        <v>1</v>
      </c>
      <c r="P32">
        <f>IF(Summary!Z33&gt;20,1,0)</f>
        <v>1</v>
      </c>
      <c r="Q32">
        <f>IF(Summary!AA33&gt;20,1,0)</f>
        <v>0</v>
      </c>
      <c r="R32">
        <f>IF(Summary!AB33&gt;20,1,0)</f>
        <v>1</v>
      </c>
      <c r="S32">
        <f>IF(Summary!AC33&gt;20,1,0)</f>
        <v>0</v>
      </c>
      <c r="T32">
        <f>IF(Summary!AD33&gt;20,1,0)</f>
        <v>1</v>
      </c>
      <c r="U32">
        <f>IF(Summary!AE33&gt;20,1,0)</f>
        <v>1</v>
      </c>
      <c r="V32">
        <f>IF(Summary!AF33&gt;20,1,0)</f>
        <v>1</v>
      </c>
      <c r="W32">
        <f>IF(Summary!AG33&gt;20,1,0)</f>
        <v>1</v>
      </c>
      <c r="X32">
        <f>IF(Summary!AH33&gt;20,1,0)</f>
        <v>1</v>
      </c>
      <c r="Y32">
        <f>IF(Summary!AI33&gt;20,1,0)</f>
        <v>1</v>
      </c>
      <c r="Z32">
        <f>IF(Summary!AJ33&gt;20,1,0)</f>
        <v>1</v>
      </c>
      <c r="AA32">
        <f>IF(Summary!AK33&gt;20,1,0)</f>
        <v>1</v>
      </c>
      <c r="AB32">
        <f>IF(Summary!AL33&gt;20,1,0)</f>
        <v>1</v>
      </c>
      <c r="AC32">
        <f>IF(Summary!AM33&gt;20,1,0)</f>
        <v>1</v>
      </c>
      <c r="AD32">
        <f>IF(Summary!AN33&gt;20,1,0)</f>
        <v>1</v>
      </c>
      <c r="AE32">
        <f>IF(Summary!AO33&gt;20,1,0)</f>
        <v>1</v>
      </c>
      <c r="AF32">
        <f>IF(Summary!AP33&gt;20,1,0)</f>
        <v>1</v>
      </c>
      <c r="AG32">
        <f>IF(Summary!AQ33&gt;20,1,0)</f>
        <v>1</v>
      </c>
      <c r="AH32">
        <f>IF(Summary!AR33&gt;20,1,0)</f>
        <v>1</v>
      </c>
      <c r="AI32">
        <f>IF(Summary!AS33&gt;20,1,0)</f>
        <v>1</v>
      </c>
      <c r="AJ32">
        <f>IF(Summary!AT33&gt;20,1,0)</f>
        <v>1</v>
      </c>
      <c r="AK32">
        <f>IF(Summary!AU33&gt;20,1,0)</f>
        <v>1</v>
      </c>
      <c r="AL32">
        <f>IF(Summary!AV33&gt;20,1,0)</f>
        <v>1</v>
      </c>
      <c r="AM32">
        <f>IF(Summary!AW33&gt;20,1,0)</f>
        <v>1</v>
      </c>
      <c r="AO32">
        <v>31</v>
      </c>
      <c r="AP32">
        <f t="shared" si="0"/>
        <v>35</v>
      </c>
      <c r="AQ32">
        <f t="shared" si="1"/>
        <v>1656</v>
      </c>
      <c r="AS32">
        <f>B32*Summary!L33</f>
        <v>56</v>
      </c>
      <c r="AT32">
        <f>C32*Summary!M33</f>
        <v>49</v>
      </c>
      <c r="AU32">
        <f>D32*Summary!N33</f>
        <v>0</v>
      </c>
      <c r="AV32">
        <f>E32*Summary!O33</f>
        <v>52</v>
      </c>
      <c r="AW32">
        <f>F32*Summary!P33</f>
        <v>28</v>
      </c>
      <c r="AX32">
        <f>G32*Summary!Q33</f>
        <v>47</v>
      </c>
      <c r="AY32">
        <f>H32*Summary!R33</f>
        <v>52</v>
      </c>
      <c r="AZ32">
        <f>I32*Summary!S33</f>
        <v>21</v>
      </c>
      <c r="BA32">
        <f>J32*Summary!T33</f>
        <v>62</v>
      </c>
      <c r="BB32">
        <f>K32*Summary!U33</f>
        <v>41</v>
      </c>
      <c r="BC32">
        <f>L32*Summary!V33</f>
        <v>49</v>
      </c>
      <c r="BD32">
        <f>M32*Summary!W33</f>
        <v>51</v>
      </c>
      <c r="BE32">
        <f>N32*Summary!X33</f>
        <v>43</v>
      </c>
      <c r="BF32">
        <f>O32*Summary!Y33</f>
        <v>53</v>
      </c>
      <c r="BG32">
        <f>P32*Summary!Z33</f>
        <v>52</v>
      </c>
      <c r="BH32">
        <f>Q32*Summary!AA33</f>
        <v>0</v>
      </c>
      <c r="BI32">
        <f>R32*Summary!AB33</f>
        <v>46</v>
      </c>
      <c r="BJ32">
        <f>S32*Summary!AC33</f>
        <v>0</v>
      </c>
      <c r="BK32">
        <f>T32*Summary!AD33</f>
        <v>47</v>
      </c>
      <c r="BL32">
        <f>U32*Summary!AE33</f>
        <v>43</v>
      </c>
      <c r="BM32">
        <f>V32*Summary!AF33</f>
        <v>43</v>
      </c>
      <c r="BN32">
        <f>W32*Summary!AG33</f>
        <v>51</v>
      </c>
      <c r="BO32">
        <f>X32*Summary!AH33</f>
        <v>54</v>
      </c>
      <c r="BP32">
        <f>Y32*Summary!AI33</f>
        <v>53</v>
      </c>
      <c r="BQ32">
        <f>Z32*Summary!AJ33</f>
        <v>47</v>
      </c>
      <c r="BR32">
        <f>AA32*Summary!AK33</f>
        <v>43</v>
      </c>
      <c r="BS32">
        <f>AB32*Summary!AL33</f>
        <v>53</v>
      </c>
      <c r="BT32">
        <f>AC32*Summary!AM33</f>
        <v>49</v>
      </c>
      <c r="BU32">
        <f>AD32*Summary!AN33</f>
        <v>55</v>
      </c>
      <c r="BV32">
        <f>AE32*Summary!AO33</f>
        <v>47</v>
      </c>
      <c r="BW32">
        <f>AF32*Summary!AP33</f>
        <v>44</v>
      </c>
      <c r="BX32">
        <f>AG32*Summary!AQ33</f>
        <v>40</v>
      </c>
      <c r="BY32">
        <f>AH32*Summary!AR33</f>
        <v>52</v>
      </c>
      <c r="BZ32">
        <f>AI32*Summary!AS33</f>
        <v>47</v>
      </c>
      <c r="CA32">
        <f>AJ32*Summary!AT33</f>
        <v>44</v>
      </c>
      <c r="CB32">
        <f>AK32*Summary!AU33</f>
        <v>44</v>
      </c>
      <c r="CC32">
        <f>AL32*Summary!AV33</f>
        <v>46</v>
      </c>
      <c r="CD32">
        <f>AM32*Summary!AW33</f>
        <v>52</v>
      </c>
    </row>
    <row r="33" spans="1:82" x14ac:dyDescent="0.25">
      <c r="A33">
        <v>32</v>
      </c>
      <c r="B33">
        <f>IF(Summary!L34&gt;20,1,0)</f>
        <v>1</v>
      </c>
      <c r="C33">
        <f>IF(Summary!M34&gt;20,1,0)</f>
        <v>1</v>
      </c>
      <c r="D33">
        <f>IF(Summary!N34&gt;20,1,0)</f>
        <v>0</v>
      </c>
      <c r="E33">
        <f>IF(Summary!O34&gt;20,1,0)</f>
        <v>1</v>
      </c>
      <c r="F33">
        <f>IF(Summary!P34&gt;20,1,0)</f>
        <v>1</v>
      </c>
      <c r="G33">
        <f>IF(Summary!Q34&gt;20,1,0)</f>
        <v>1</v>
      </c>
      <c r="H33">
        <f>IF(Summary!R34&gt;20,1,0)</f>
        <v>1</v>
      </c>
      <c r="I33">
        <f>IF(Summary!S34&gt;20,1,0)</f>
        <v>1</v>
      </c>
      <c r="J33">
        <f>IF(Summary!T34&gt;20,1,0)</f>
        <v>1</v>
      </c>
      <c r="K33">
        <f>IF(Summary!U34&gt;20,1,0)</f>
        <v>1</v>
      </c>
      <c r="L33">
        <f>IF(Summary!V34&gt;20,1,0)</f>
        <v>1</v>
      </c>
      <c r="M33">
        <f>IF(Summary!W34&gt;20,1,0)</f>
        <v>1</v>
      </c>
      <c r="N33">
        <f>IF(Summary!X34&gt;20,1,0)</f>
        <v>1</v>
      </c>
      <c r="O33">
        <f>IF(Summary!Y34&gt;20,1,0)</f>
        <v>1</v>
      </c>
      <c r="P33">
        <f>IF(Summary!Z34&gt;20,1,0)</f>
        <v>1</v>
      </c>
      <c r="Q33">
        <f>IF(Summary!AA34&gt;20,1,0)</f>
        <v>0</v>
      </c>
      <c r="R33">
        <f>IF(Summary!AB34&gt;20,1,0)</f>
        <v>1</v>
      </c>
      <c r="S33">
        <f>IF(Summary!AC34&gt;20,1,0)</f>
        <v>0</v>
      </c>
      <c r="T33">
        <f>IF(Summary!AD34&gt;20,1,0)</f>
        <v>1</v>
      </c>
      <c r="U33">
        <f>IF(Summary!AE34&gt;20,1,0)</f>
        <v>1</v>
      </c>
      <c r="V33">
        <f>IF(Summary!AF34&gt;20,1,0)</f>
        <v>1</v>
      </c>
      <c r="W33">
        <f>IF(Summary!AG34&gt;20,1,0)</f>
        <v>1</v>
      </c>
      <c r="X33">
        <f>IF(Summary!AH34&gt;20,1,0)</f>
        <v>1</v>
      </c>
      <c r="Y33">
        <f>IF(Summary!AI34&gt;20,1,0)</f>
        <v>1</v>
      </c>
      <c r="Z33">
        <f>IF(Summary!AJ34&gt;20,1,0)</f>
        <v>1</v>
      </c>
      <c r="AA33">
        <f>IF(Summary!AK34&gt;20,1,0)</f>
        <v>1</v>
      </c>
      <c r="AB33">
        <f>IF(Summary!AL34&gt;20,1,0)</f>
        <v>1</v>
      </c>
      <c r="AC33">
        <f>IF(Summary!AM34&gt;20,1,0)</f>
        <v>1</v>
      </c>
      <c r="AD33">
        <f>IF(Summary!AN34&gt;20,1,0)</f>
        <v>1</v>
      </c>
      <c r="AE33">
        <f>IF(Summary!AO34&gt;20,1,0)</f>
        <v>1</v>
      </c>
      <c r="AF33">
        <f>IF(Summary!AP34&gt;20,1,0)</f>
        <v>1</v>
      </c>
      <c r="AG33">
        <f>IF(Summary!AQ34&gt;20,1,0)</f>
        <v>1</v>
      </c>
      <c r="AH33">
        <f>IF(Summary!AR34&gt;20,1,0)</f>
        <v>1</v>
      </c>
      <c r="AI33">
        <f>IF(Summary!AS34&gt;20,1,0)</f>
        <v>1</v>
      </c>
      <c r="AJ33">
        <f>IF(Summary!AT34&gt;20,1,0)</f>
        <v>1</v>
      </c>
      <c r="AK33">
        <f>IF(Summary!AU34&gt;20,1,0)</f>
        <v>1</v>
      </c>
      <c r="AL33">
        <f>IF(Summary!AV34&gt;20,1,0)</f>
        <v>1</v>
      </c>
      <c r="AM33">
        <f>IF(Summary!AW34&gt;20,1,0)</f>
        <v>1</v>
      </c>
      <c r="AO33">
        <v>32</v>
      </c>
      <c r="AP33">
        <f t="shared" si="0"/>
        <v>35</v>
      </c>
      <c r="AQ33">
        <f t="shared" si="1"/>
        <v>1572</v>
      </c>
      <c r="AS33">
        <f>B33*Summary!L34</f>
        <v>50</v>
      </c>
      <c r="AT33">
        <f>C33*Summary!M34</f>
        <v>42</v>
      </c>
      <c r="AU33">
        <f>D33*Summary!N34</f>
        <v>0</v>
      </c>
      <c r="AV33">
        <f>E33*Summary!O34</f>
        <v>47</v>
      </c>
      <c r="AW33">
        <f>F33*Summary!P34</f>
        <v>24</v>
      </c>
      <c r="AX33">
        <f>G33*Summary!Q34</f>
        <v>41</v>
      </c>
      <c r="AY33">
        <f>H33*Summary!R34</f>
        <v>45</v>
      </c>
      <c r="AZ33">
        <f>I33*Summary!S34</f>
        <v>34</v>
      </c>
      <c r="BA33">
        <f>J33*Summary!T34</f>
        <v>50</v>
      </c>
      <c r="BB33">
        <f>K33*Summary!U34</f>
        <v>43</v>
      </c>
      <c r="BC33">
        <f>L33*Summary!V34</f>
        <v>42</v>
      </c>
      <c r="BD33">
        <f>M33*Summary!W34</f>
        <v>46</v>
      </c>
      <c r="BE33">
        <f>N33*Summary!X34</f>
        <v>44</v>
      </c>
      <c r="BF33">
        <f>O33*Summary!Y34</f>
        <v>48</v>
      </c>
      <c r="BG33">
        <f>P33*Summary!Z34</f>
        <v>58</v>
      </c>
      <c r="BH33">
        <f>Q33*Summary!AA34</f>
        <v>0</v>
      </c>
      <c r="BI33">
        <f>R33*Summary!AB34</f>
        <v>49</v>
      </c>
      <c r="BJ33">
        <f>S33*Summary!AC34</f>
        <v>0</v>
      </c>
      <c r="BK33">
        <f>T33*Summary!AD34</f>
        <v>52</v>
      </c>
      <c r="BL33">
        <f>U33*Summary!AE34</f>
        <v>45</v>
      </c>
      <c r="BM33">
        <f>V33*Summary!AF34</f>
        <v>41</v>
      </c>
      <c r="BN33">
        <f>W33*Summary!AG34</f>
        <v>47</v>
      </c>
      <c r="BO33">
        <f>X33*Summary!AH34</f>
        <v>52</v>
      </c>
      <c r="BP33">
        <f>Y33*Summary!AI34</f>
        <v>51</v>
      </c>
      <c r="BQ33">
        <f>Z33*Summary!AJ34</f>
        <v>41</v>
      </c>
      <c r="BR33">
        <f>AA33*Summary!AK34</f>
        <v>44</v>
      </c>
      <c r="BS33">
        <f>AB33*Summary!AL34</f>
        <v>46</v>
      </c>
      <c r="BT33">
        <f>AC33*Summary!AM34</f>
        <v>45</v>
      </c>
      <c r="BU33">
        <f>AD33*Summary!AN34</f>
        <v>45</v>
      </c>
      <c r="BV33">
        <f>AE33*Summary!AO34</f>
        <v>47</v>
      </c>
      <c r="BW33">
        <f>AF33*Summary!AP34</f>
        <v>38</v>
      </c>
      <c r="BX33">
        <f>AG33*Summary!AQ34</f>
        <v>39</v>
      </c>
      <c r="BY33">
        <f>AH33*Summary!AR34</f>
        <v>49</v>
      </c>
      <c r="BZ33">
        <f>AI33*Summary!AS34</f>
        <v>40</v>
      </c>
      <c r="CA33">
        <f>AJ33*Summary!AT34</f>
        <v>47</v>
      </c>
      <c r="CB33">
        <f>AK33*Summary!AU34</f>
        <v>49</v>
      </c>
      <c r="CC33">
        <f>AL33*Summary!AV34</f>
        <v>51</v>
      </c>
      <c r="CD33">
        <f>AM33*Summary!AW34</f>
        <v>40</v>
      </c>
    </row>
    <row r="34" spans="1:82" x14ac:dyDescent="0.25">
      <c r="A34">
        <v>33</v>
      </c>
      <c r="B34">
        <f>IF(Summary!L35&gt;20,1,0)</f>
        <v>1</v>
      </c>
      <c r="C34">
        <f>IF(Summary!M35&gt;20,1,0)</f>
        <v>1</v>
      </c>
      <c r="D34">
        <v>0</v>
      </c>
      <c r="E34">
        <f>IF(Summary!O35&gt;20,1,0)</f>
        <v>1</v>
      </c>
      <c r="F34">
        <f>IF(Summary!P35&gt;20,1,0)</f>
        <v>1</v>
      </c>
      <c r="G34">
        <f>IF(Summary!Q35&gt;20,1,0)</f>
        <v>1</v>
      </c>
      <c r="H34">
        <f>IF(Summary!R35&gt;20,1,0)</f>
        <v>1</v>
      </c>
      <c r="I34">
        <f>IF(Summary!S35&gt;20,1,0)</f>
        <v>1</v>
      </c>
      <c r="J34">
        <f>IF(Summary!T35&gt;20,1,0)</f>
        <v>1</v>
      </c>
      <c r="K34">
        <f>IF(Summary!U35&gt;20,1,0)</f>
        <v>1</v>
      </c>
      <c r="L34">
        <f>IF(Summary!V35&gt;20,1,0)</f>
        <v>1</v>
      </c>
      <c r="M34">
        <f>IF(Summary!W35&gt;20,1,0)</f>
        <v>1</v>
      </c>
      <c r="N34">
        <f>IF(Summary!X35&gt;20,1,0)</f>
        <v>1</v>
      </c>
      <c r="O34">
        <f>IF(Summary!Y35&gt;20,1,0)</f>
        <v>1</v>
      </c>
      <c r="P34">
        <f>IF(Summary!Z35&gt;20,1,0)</f>
        <v>1</v>
      </c>
      <c r="Q34">
        <f>IF(Summary!AA35&gt;20,1,0)</f>
        <v>0</v>
      </c>
      <c r="R34">
        <f>IF(Summary!AB35&gt;20,1,0)</f>
        <v>1</v>
      </c>
      <c r="S34">
        <f>IF(Summary!AC35&gt;20,1,0)</f>
        <v>0</v>
      </c>
      <c r="T34">
        <f>IF(Summary!AD35&gt;20,1,0)</f>
        <v>1</v>
      </c>
      <c r="U34">
        <f>IF(Summary!AE35&gt;20,1,0)</f>
        <v>1</v>
      </c>
      <c r="V34">
        <f>IF(Summary!AF35&gt;20,1,0)</f>
        <v>1</v>
      </c>
      <c r="W34">
        <f>IF(Summary!AG35&gt;20,1,0)</f>
        <v>1</v>
      </c>
      <c r="X34">
        <f>IF(Summary!AH35&gt;20,1,0)</f>
        <v>1</v>
      </c>
      <c r="Y34">
        <f>IF(Summary!AI35&gt;20,1,0)</f>
        <v>1</v>
      </c>
      <c r="Z34">
        <f>IF(Summary!AJ35&gt;20,1,0)</f>
        <v>1</v>
      </c>
      <c r="AA34">
        <f>IF(Summary!AK35&gt;20,1,0)</f>
        <v>1</v>
      </c>
      <c r="AB34">
        <f>IF(Summary!AL35&gt;20,1,0)</f>
        <v>1</v>
      </c>
      <c r="AC34">
        <f>IF(Summary!AM35&gt;20,1,0)</f>
        <v>1</v>
      </c>
      <c r="AD34">
        <f>IF(Summary!AN35&gt;20,1,0)</f>
        <v>1</v>
      </c>
      <c r="AE34">
        <f>IF(Summary!AO35&gt;20,1,0)</f>
        <v>1</v>
      </c>
      <c r="AF34">
        <f>IF(Summary!AP35&gt;20,1,0)</f>
        <v>1</v>
      </c>
      <c r="AG34">
        <f>IF(Summary!AQ35&gt;20,1,0)</f>
        <v>0</v>
      </c>
      <c r="AH34">
        <f>IF(Summary!AR35&gt;20,1,0)</f>
        <v>1</v>
      </c>
      <c r="AI34">
        <f>IF(Summary!AS35&gt;20,1,0)</f>
        <v>1</v>
      </c>
      <c r="AJ34">
        <f>IF(Summary!AT35&gt;20,1,0)</f>
        <v>1</v>
      </c>
      <c r="AK34">
        <f>IF(Summary!AU35&gt;20,1,0)</f>
        <v>1</v>
      </c>
      <c r="AL34">
        <f>IF(Summary!AV35&gt;20,1,0)</f>
        <v>1</v>
      </c>
      <c r="AM34">
        <f>IF(Summary!AW35&gt;20,1,0)</f>
        <v>1</v>
      </c>
      <c r="AO34">
        <v>33</v>
      </c>
      <c r="AP34">
        <f t="shared" ref="AP34:AP61" si="2">SUM(B34:AM34)</f>
        <v>34</v>
      </c>
      <c r="AQ34">
        <f t="shared" ref="AQ34:AQ61" si="3">SUM(AS34:CD34)</f>
        <v>1525</v>
      </c>
      <c r="AS34">
        <f>B34*Summary!L35</f>
        <v>47</v>
      </c>
      <c r="AT34">
        <f>C34*Summary!M35</f>
        <v>40</v>
      </c>
      <c r="AU34">
        <f>D34*Summary!N35</f>
        <v>0</v>
      </c>
      <c r="AV34">
        <f>E34*Summary!O35</f>
        <v>47</v>
      </c>
      <c r="AW34">
        <f>F34*Summary!P35</f>
        <v>25</v>
      </c>
      <c r="AX34">
        <f>G34*Summary!Q35</f>
        <v>31</v>
      </c>
      <c r="AY34">
        <f>H34*Summary!R35</f>
        <v>49</v>
      </c>
      <c r="AZ34">
        <f>I34*Summary!S35</f>
        <v>41</v>
      </c>
      <c r="BA34">
        <f>J34*Summary!T35</f>
        <v>49</v>
      </c>
      <c r="BB34">
        <f>K34*Summary!U35</f>
        <v>45</v>
      </c>
      <c r="BC34">
        <f>L34*Summary!V35</f>
        <v>46</v>
      </c>
      <c r="BD34">
        <f>M34*Summary!W35</f>
        <v>46</v>
      </c>
      <c r="BE34">
        <f>N34*Summary!X35</f>
        <v>41</v>
      </c>
      <c r="BF34">
        <f>O34*Summary!Y35</f>
        <v>45</v>
      </c>
      <c r="BG34">
        <f>P34*Summary!Z35</f>
        <v>48</v>
      </c>
      <c r="BH34">
        <f>Q34*Summary!AA35</f>
        <v>0</v>
      </c>
      <c r="BI34">
        <f>R34*Summary!AB35</f>
        <v>47</v>
      </c>
      <c r="BJ34">
        <f>S34*Summary!AC35</f>
        <v>0</v>
      </c>
      <c r="BK34">
        <f>T34*Summary!AD35</f>
        <v>51</v>
      </c>
      <c r="BL34">
        <f>U34*Summary!AE35</f>
        <v>41</v>
      </c>
      <c r="BM34">
        <f>V34*Summary!AF35</f>
        <v>42</v>
      </c>
      <c r="BN34">
        <f>W34*Summary!AG35</f>
        <v>37</v>
      </c>
      <c r="BO34">
        <f>X34*Summary!AH35</f>
        <v>53</v>
      </c>
      <c r="BP34">
        <f>Y34*Summary!AI35</f>
        <v>45</v>
      </c>
      <c r="BQ34">
        <f>Z34*Summary!AJ35</f>
        <v>49</v>
      </c>
      <c r="BR34">
        <f>AA34*Summary!AK35</f>
        <v>46</v>
      </c>
      <c r="BS34">
        <f>AB34*Summary!AL35</f>
        <v>50</v>
      </c>
      <c r="BT34">
        <f>AC34*Summary!AM35</f>
        <v>44</v>
      </c>
      <c r="BU34">
        <f>AD34*Summary!AN35</f>
        <v>44</v>
      </c>
      <c r="BV34">
        <f>AE34*Summary!AO35</f>
        <v>43</v>
      </c>
      <c r="BW34">
        <f>AF34*Summary!AP35</f>
        <v>43</v>
      </c>
      <c r="BX34">
        <f>AG34*Summary!AQ35</f>
        <v>0</v>
      </c>
      <c r="BY34">
        <f>AH34*Summary!AR35</f>
        <v>48</v>
      </c>
      <c r="BZ34">
        <f>AI34*Summary!AS35</f>
        <v>50</v>
      </c>
      <c r="CA34">
        <f>AJ34*Summary!AT35</f>
        <v>49</v>
      </c>
      <c r="CB34">
        <f>AK34*Summary!AU35</f>
        <v>52</v>
      </c>
      <c r="CC34">
        <f>AL34*Summary!AV35</f>
        <v>42</v>
      </c>
      <c r="CD34">
        <f>AM34*Summary!AW35</f>
        <v>49</v>
      </c>
    </row>
    <row r="35" spans="1:82" x14ac:dyDescent="0.25">
      <c r="A35">
        <v>34</v>
      </c>
      <c r="B35">
        <f>IF(Summary!L36&gt;20,1,0)</f>
        <v>1</v>
      </c>
      <c r="C35">
        <f>IF(Summary!M36&gt;20,1,0)</f>
        <v>1</v>
      </c>
      <c r="D35">
        <f>IF(Summary!N36&gt;20,1,0)</f>
        <v>0</v>
      </c>
      <c r="E35">
        <f>IF(Summary!O36&gt;20,1,0)</f>
        <v>1</v>
      </c>
      <c r="F35">
        <f>IF(Summary!P36&gt;20,1,0)</f>
        <v>0</v>
      </c>
      <c r="G35">
        <f>IF(Summary!Q36&gt;20,1,0)</f>
        <v>1</v>
      </c>
      <c r="H35">
        <f>IF(Summary!R36&gt;20,1,0)</f>
        <v>1</v>
      </c>
      <c r="I35">
        <f>IF(Summary!S36&gt;20,1,0)</f>
        <v>1</v>
      </c>
      <c r="J35">
        <f>IF(Summary!T36&gt;20,1,0)</f>
        <v>1</v>
      </c>
      <c r="K35">
        <f>IF(Summary!U36&gt;20,1,0)</f>
        <v>1</v>
      </c>
      <c r="L35">
        <f>IF(Summary!V36&gt;20,1,0)</f>
        <v>1</v>
      </c>
      <c r="M35">
        <f>IF(Summary!W36&gt;20,1,0)</f>
        <v>1</v>
      </c>
      <c r="N35">
        <f>IF(Summary!X36&gt;20,1,0)</f>
        <v>1</v>
      </c>
      <c r="O35">
        <f>IF(Summary!Y36&gt;20,1,0)</f>
        <v>1</v>
      </c>
      <c r="P35">
        <f>IF(Summary!Z36&gt;20,1,0)</f>
        <v>1</v>
      </c>
      <c r="Q35">
        <f>IF(Summary!AA36&gt;20,1,0)</f>
        <v>0</v>
      </c>
      <c r="R35">
        <f>IF(Summary!AB36&gt;20,1,0)</f>
        <v>1</v>
      </c>
      <c r="S35">
        <f>IF(Summary!AC36&gt;20,1,0)</f>
        <v>0</v>
      </c>
      <c r="T35">
        <f>IF(Summary!AD36&gt;20,1,0)</f>
        <v>1</v>
      </c>
      <c r="U35">
        <f>IF(Summary!AE36&gt;20,1,0)</f>
        <v>1</v>
      </c>
      <c r="V35">
        <f>IF(Summary!AF36&gt;20,1,0)</f>
        <v>1</v>
      </c>
      <c r="W35">
        <f>IF(Summary!AG36&gt;20,1,0)</f>
        <v>1</v>
      </c>
      <c r="X35">
        <f>IF(Summary!AH36&gt;20,1,0)</f>
        <v>1</v>
      </c>
      <c r="Y35">
        <f>IF(Summary!AI36&gt;20,1,0)</f>
        <v>1</v>
      </c>
      <c r="Z35">
        <f>IF(Summary!AJ36&gt;20,1,0)</f>
        <v>1</v>
      </c>
      <c r="AA35">
        <f>IF(Summary!AK36&gt;20,1,0)</f>
        <v>1</v>
      </c>
      <c r="AB35">
        <f>IF(Summary!AL36&gt;20,1,0)</f>
        <v>1</v>
      </c>
      <c r="AC35">
        <f>IF(Summary!AM36&gt;20,1,0)</f>
        <v>1</v>
      </c>
      <c r="AD35">
        <f>IF(Summary!AN36&gt;20,1,0)</f>
        <v>1</v>
      </c>
      <c r="AE35">
        <f>IF(Summary!AO36&gt;20,1,0)</f>
        <v>1</v>
      </c>
      <c r="AF35">
        <f>IF(Summary!AP36&gt;20,1,0)</f>
        <v>1</v>
      </c>
      <c r="AG35">
        <f>IF(Summary!AQ36&gt;20,1,0)</f>
        <v>0</v>
      </c>
      <c r="AH35">
        <f>IF(Summary!AR36&gt;20,1,0)</f>
        <v>1</v>
      </c>
      <c r="AI35">
        <f>IF(Summary!AS36&gt;20,1,0)</f>
        <v>1</v>
      </c>
      <c r="AJ35">
        <f>IF(Summary!AT36&gt;20,1,0)</f>
        <v>1</v>
      </c>
      <c r="AK35">
        <f>IF(Summary!AU36&gt;20,1,0)</f>
        <v>1</v>
      </c>
      <c r="AL35">
        <f>IF(Summary!AV36&gt;20,1,0)</f>
        <v>1</v>
      </c>
      <c r="AM35">
        <f>IF(Summary!AW36&gt;20,1,0)</f>
        <v>1</v>
      </c>
      <c r="AO35">
        <v>34</v>
      </c>
      <c r="AP35">
        <f t="shared" si="2"/>
        <v>33</v>
      </c>
      <c r="AQ35">
        <f t="shared" si="3"/>
        <v>1443</v>
      </c>
      <c r="AS35">
        <f>B35*Summary!L36</f>
        <v>51</v>
      </c>
      <c r="AT35">
        <f>C35*Summary!M36</f>
        <v>35</v>
      </c>
      <c r="AU35">
        <f>D35*Summary!N36</f>
        <v>0</v>
      </c>
      <c r="AV35">
        <f>E35*Summary!O36</f>
        <v>47</v>
      </c>
      <c r="AW35">
        <f>F35*Summary!P36</f>
        <v>0</v>
      </c>
      <c r="AX35">
        <f>G35*Summary!Q36</f>
        <v>43</v>
      </c>
      <c r="AY35">
        <f>H35*Summary!R36</f>
        <v>45</v>
      </c>
      <c r="AZ35">
        <f>I35*Summary!S36</f>
        <v>33</v>
      </c>
      <c r="BA35">
        <f>J35*Summary!T36</f>
        <v>44</v>
      </c>
      <c r="BB35">
        <f>K35*Summary!U36</f>
        <v>37</v>
      </c>
      <c r="BC35">
        <f>L35*Summary!V36</f>
        <v>43</v>
      </c>
      <c r="BD35">
        <f>M35*Summary!W36</f>
        <v>43</v>
      </c>
      <c r="BE35">
        <f>N35*Summary!X36</f>
        <v>38</v>
      </c>
      <c r="BF35">
        <f>O35*Summary!Y36</f>
        <v>45</v>
      </c>
      <c r="BG35">
        <f>P35*Summary!Z36</f>
        <v>49</v>
      </c>
      <c r="BH35">
        <f>Q35*Summary!AA36</f>
        <v>0</v>
      </c>
      <c r="BI35">
        <f>R35*Summary!AB36</f>
        <v>52</v>
      </c>
      <c r="BJ35">
        <f>S35*Summary!AC36</f>
        <v>0</v>
      </c>
      <c r="BK35">
        <f>T35*Summary!AD36</f>
        <v>44</v>
      </c>
      <c r="BL35">
        <f>U35*Summary!AE36</f>
        <v>41</v>
      </c>
      <c r="BM35">
        <f>V35*Summary!AF36</f>
        <v>46</v>
      </c>
      <c r="BN35">
        <f>W35*Summary!AG36</f>
        <v>40</v>
      </c>
      <c r="BO35">
        <f>X35*Summary!AH36</f>
        <v>42</v>
      </c>
      <c r="BP35">
        <f>Y35*Summary!AI36</f>
        <v>39</v>
      </c>
      <c r="BQ35">
        <f>Z35*Summary!AJ36</f>
        <v>44</v>
      </c>
      <c r="BR35">
        <f>AA35*Summary!AK36</f>
        <v>45</v>
      </c>
      <c r="BS35">
        <f>AB35*Summary!AL36</f>
        <v>50</v>
      </c>
      <c r="BT35">
        <f>AC35*Summary!AM36</f>
        <v>45</v>
      </c>
      <c r="BU35">
        <f>AD35*Summary!AN36</f>
        <v>46</v>
      </c>
      <c r="BV35">
        <f>AE35*Summary!AO36</f>
        <v>41</v>
      </c>
      <c r="BW35">
        <f>AF35*Summary!AP36</f>
        <v>42</v>
      </c>
      <c r="BX35">
        <f>AG35*Summary!AQ36</f>
        <v>0</v>
      </c>
      <c r="BY35">
        <f>AH35*Summary!AR36</f>
        <v>44</v>
      </c>
      <c r="BZ35">
        <f>AI35*Summary!AS36</f>
        <v>44</v>
      </c>
      <c r="CA35">
        <f>AJ35*Summary!AT36</f>
        <v>43</v>
      </c>
      <c r="CB35">
        <f>AK35*Summary!AU36</f>
        <v>46</v>
      </c>
      <c r="CC35">
        <f>AL35*Summary!AV36</f>
        <v>47</v>
      </c>
      <c r="CD35">
        <f>AM35*Summary!AW36</f>
        <v>49</v>
      </c>
    </row>
    <row r="36" spans="1:82" x14ac:dyDescent="0.25">
      <c r="A36">
        <v>35</v>
      </c>
      <c r="B36">
        <f>IF(Summary!L37&gt;20,1,0)</f>
        <v>1</v>
      </c>
      <c r="C36">
        <f>IF(Summary!M37&gt;20,1,0)</f>
        <v>1</v>
      </c>
      <c r="D36">
        <f>IF(Summary!N37&gt;20,1,0)</f>
        <v>0</v>
      </c>
      <c r="E36">
        <f>IF(Summary!O37&gt;20,1,0)</f>
        <v>1</v>
      </c>
      <c r="F36">
        <f>IF(Summary!P37&gt;20,1,0)</f>
        <v>1</v>
      </c>
      <c r="G36">
        <f>IF(Summary!Q37&gt;20,1,0)</f>
        <v>1</v>
      </c>
      <c r="H36">
        <f>IF(Summary!R37&gt;20,1,0)</f>
        <v>1</v>
      </c>
      <c r="I36">
        <f>IF(Summary!S37&gt;20,1,0)</f>
        <v>1</v>
      </c>
      <c r="J36">
        <f>IF(Summary!T37&gt;20,1,0)</f>
        <v>1</v>
      </c>
      <c r="K36">
        <f>IF(Summary!U37&gt;20,1,0)</f>
        <v>1</v>
      </c>
      <c r="L36">
        <f>IF(Summary!V37&gt;20,1,0)</f>
        <v>1</v>
      </c>
      <c r="M36">
        <f>IF(Summary!W37&gt;20,1,0)</f>
        <v>1</v>
      </c>
      <c r="N36">
        <f>IF(Summary!X37&gt;20,1,0)</f>
        <v>1</v>
      </c>
      <c r="O36">
        <f>IF(Summary!Y37&gt;20,1,0)</f>
        <v>1</v>
      </c>
      <c r="P36">
        <f>IF(Summary!Z37&gt;20,1,0)</f>
        <v>1</v>
      </c>
      <c r="Q36">
        <f>IF(Summary!AA37&gt;20,1,0)</f>
        <v>0</v>
      </c>
      <c r="R36">
        <f>IF(Summary!AB37&gt;20,1,0)</f>
        <v>1</v>
      </c>
      <c r="S36">
        <f>IF(Summary!AC37&gt;20,1,0)</f>
        <v>0</v>
      </c>
      <c r="T36">
        <f>IF(Summary!AD37&gt;20,1,0)</f>
        <v>1</v>
      </c>
      <c r="U36">
        <f>IF(Summary!AE37&gt;20,1,0)</f>
        <v>1</v>
      </c>
      <c r="V36">
        <f>IF(Summary!AF37&gt;20,1,0)</f>
        <v>1</v>
      </c>
      <c r="W36">
        <f>IF(Summary!AG37&gt;20,1,0)</f>
        <v>1</v>
      </c>
      <c r="X36">
        <f>IF(Summary!AH37&gt;20,1,0)</f>
        <v>1</v>
      </c>
      <c r="Y36">
        <f>IF(Summary!AI37&gt;20,1,0)</f>
        <v>1</v>
      </c>
      <c r="Z36">
        <f>IF(Summary!AJ37&gt;20,1,0)</f>
        <v>1</v>
      </c>
      <c r="AA36">
        <f>IF(Summary!AK37&gt;20,1,0)</f>
        <v>1</v>
      </c>
      <c r="AB36">
        <f>IF(Summary!AL37&gt;20,1,0)</f>
        <v>1</v>
      </c>
      <c r="AC36">
        <f>IF(Summary!AM37&gt;20,1,0)</f>
        <v>1</v>
      </c>
      <c r="AD36">
        <f>IF(Summary!AN37&gt;20,1,0)</f>
        <v>1</v>
      </c>
      <c r="AE36">
        <f>IF(Summary!AO37&gt;20,1,0)</f>
        <v>1</v>
      </c>
      <c r="AF36">
        <f>IF(Summary!AP37&gt;20,1,0)</f>
        <v>1</v>
      </c>
      <c r="AG36">
        <f>IF(Summary!AQ37&gt;20,1,0)</f>
        <v>1</v>
      </c>
      <c r="AH36">
        <f>IF(Summary!AR37&gt;20,1,0)</f>
        <v>1</v>
      </c>
      <c r="AI36">
        <f>IF(Summary!AS37&gt;20,1,0)</f>
        <v>1</v>
      </c>
      <c r="AJ36">
        <f>IF(Summary!AT37&gt;20,1,0)</f>
        <v>1</v>
      </c>
      <c r="AK36">
        <f>IF(Summary!AU37&gt;20,1,0)</f>
        <v>1</v>
      </c>
      <c r="AL36">
        <f>IF(Summary!AV37&gt;20,1,0)</f>
        <v>1</v>
      </c>
      <c r="AM36">
        <f>IF(Summary!AW37&gt;20,1,0)</f>
        <v>1</v>
      </c>
      <c r="AO36">
        <v>35</v>
      </c>
      <c r="AP36">
        <f t="shared" si="2"/>
        <v>35</v>
      </c>
      <c r="AQ36">
        <f t="shared" si="3"/>
        <v>1587</v>
      </c>
      <c r="AS36">
        <f>B36*Summary!L37</f>
        <v>42</v>
      </c>
      <c r="AT36">
        <f>C36*Summary!M37</f>
        <v>44</v>
      </c>
      <c r="AU36">
        <f>D36*Summary!N37</f>
        <v>0</v>
      </c>
      <c r="AV36">
        <f>E36*Summary!O37</f>
        <v>45</v>
      </c>
      <c r="AW36">
        <f>F36*Summary!P37</f>
        <v>37</v>
      </c>
      <c r="AX36">
        <f>G36*Summary!Q37</f>
        <v>41</v>
      </c>
      <c r="AY36">
        <f>H36*Summary!R37</f>
        <v>49</v>
      </c>
      <c r="AZ36">
        <f>I36*Summary!S37</f>
        <v>29</v>
      </c>
      <c r="BA36">
        <f>J36*Summary!T37</f>
        <v>55</v>
      </c>
      <c r="BB36">
        <f>K36*Summary!U37</f>
        <v>34</v>
      </c>
      <c r="BC36">
        <f>L36*Summary!V37</f>
        <v>47</v>
      </c>
      <c r="BD36">
        <f>M36*Summary!W37</f>
        <v>46</v>
      </c>
      <c r="BE36">
        <f>N36*Summary!X37</f>
        <v>44</v>
      </c>
      <c r="BF36">
        <f>O36*Summary!Y37</f>
        <v>45</v>
      </c>
      <c r="BG36">
        <f>P36*Summary!Z37</f>
        <v>55</v>
      </c>
      <c r="BH36">
        <f>Q36*Summary!AA37</f>
        <v>0</v>
      </c>
      <c r="BI36">
        <f>R36*Summary!AB37</f>
        <v>50</v>
      </c>
      <c r="BJ36">
        <f>S36*Summary!AC37</f>
        <v>0</v>
      </c>
      <c r="BK36">
        <f>T36*Summary!AD37</f>
        <v>47</v>
      </c>
      <c r="BL36">
        <f>U36*Summary!AE37</f>
        <v>40</v>
      </c>
      <c r="BM36">
        <f>V36*Summary!AF37</f>
        <v>42</v>
      </c>
      <c r="BN36">
        <f>W36*Summary!AG37</f>
        <v>37</v>
      </c>
      <c r="BO36">
        <f>X36*Summary!AH37</f>
        <v>50</v>
      </c>
      <c r="BP36">
        <f>Y36*Summary!AI37</f>
        <v>47</v>
      </c>
      <c r="BQ36">
        <f>Z36*Summary!AJ37</f>
        <v>50</v>
      </c>
      <c r="BR36">
        <f>AA36*Summary!AK37</f>
        <v>55</v>
      </c>
      <c r="BS36">
        <f>AB36*Summary!AL37</f>
        <v>57</v>
      </c>
      <c r="BT36">
        <f>AC36*Summary!AM37</f>
        <v>47</v>
      </c>
      <c r="BU36">
        <f>AD36*Summary!AN37</f>
        <v>49</v>
      </c>
      <c r="BV36">
        <f>AE36*Summary!AO37</f>
        <v>48</v>
      </c>
      <c r="BW36">
        <f>AF36*Summary!AP37</f>
        <v>48</v>
      </c>
      <c r="BX36">
        <f>AG36*Summary!AQ37</f>
        <v>29</v>
      </c>
      <c r="BY36">
        <f>AH36*Summary!AR37</f>
        <v>44</v>
      </c>
      <c r="BZ36">
        <f>AI36*Summary!AS37</f>
        <v>47</v>
      </c>
      <c r="CA36">
        <f>AJ36*Summary!AT37</f>
        <v>47</v>
      </c>
      <c r="CB36">
        <f>AK36*Summary!AU37</f>
        <v>51</v>
      </c>
      <c r="CC36">
        <f>AL36*Summary!AV37</f>
        <v>43</v>
      </c>
      <c r="CD36">
        <f>AM36*Summary!AW37</f>
        <v>46</v>
      </c>
    </row>
    <row r="37" spans="1:82" x14ac:dyDescent="0.25">
      <c r="A37">
        <v>36</v>
      </c>
      <c r="B37">
        <f>IF(Summary!L38&gt;20,1,0)</f>
        <v>1</v>
      </c>
      <c r="C37">
        <f>IF(Summary!M38&gt;20,1,0)</f>
        <v>1</v>
      </c>
      <c r="D37">
        <f>IF(Summary!N38&gt;20,1,0)</f>
        <v>0</v>
      </c>
      <c r="E37">
        <f>IF(Summary!O38&gt;20,1,0)</f>
        <v>1</v>
      </c>
      <c r="F37">
        <f>IF(Summary!P38&gt;20,1,0)</f>
        <v>1</v>
      </c>
      <c r="G37">
        <f>IF(Summary!Q38&gt;20,1,0)</f>
        <v>1</v>
      </c>
      <c r="H37">
        <f>IF(Summary!R38&gt;20,1,0)</f>
        <v>1</v>
      </c>
      <c r="I37">
        <f>IF(Summary!S38&gt;20,1,0)</f>
        <v>1</v>
      </c>
      <c r="J37">
        <f>IF(Summary!T38&gt;20,1,0)</f>
        <v>1</v>
      </c>
      <c r="K37">
        <f>IF(Summary!U38&gt;20,1,0)</f>
        <v>1</v>
      </c>
      <c r="L37">
        <f>IF(Summary!V38&gt;20,1,0)</f>
        <v>1</v>
      </c>
      <c r="M37">
        <f>IF(Summary!W38&gt;20,1,0)</f>
        <v>1</v>
      </c>
      <c r="N37">
        <f>IF(Summary!X38&gt;20,1,0)</f>
        <v>1</v>
      </c>
      <c r="O37">
        <f>IF(Summary!Y38&gt;20,1,0)</f>
        <v>1</v>
      </c>
      <c r="P37">
        <f>IF(Summary!Z38&gt;20,1,0)</f>
        <v>1</v>
      </c>
      <c r="Q37">
        <f>IF(Summary!AA38&gt;20,1,0)</f>
        <v>0</v>
      </c>
      <c r="R37">
        <f>IF(Summary!AB38&gt;20,1,0)</f>
        <v>1</v>
      </c>
      <c r="S37">
        <f>IF(Summary!AC38&gt;20,1,0)</f>
        <v>0</v>
      </c>
      <c r="T37">
        <f>IF(Summary!AD38&gt;20,1,0)</f>
        <v>1</v>
      </c>
      <c r="U37">
        <f>IF(Summary!AE38&gt;20,1,0)</f>
        <v>1</v>
      </c>
      <c r="V37">
        <f>IF(Summary!AF38&gt;20,1,0)</f>
        <v>1</v>
      </c>
      <c r="W37">
        <f>IF(Summary!AG38&gt;20,1,0)</f>
        <v>1</v>
      </c>
      <c r="X37">
        <f>IF(Summary!AH38&gt;20,1,0)</f>
        <v>1</v>
      </c>
      <c r="Y37">
        <f>IF(Summary!AI38&gt;20,1,0)</f>
        <v>1</v>
      </c>
      <c r="Z37">
        <f>IF(Summary!AJ38&gt;20,1,0)</f>
        <v>1</v>
      </c>
      <c r="AA37">
        <f>IF(Summary!AK38&gt;20,1,0)</f>
        <v>1</v>
      </c>
      <c r="AB37">
        <f>IF(Summary!AL38&gt;20,1,0)</f>
        <v>1</v>
      </c>
      <c r="AC37">
        <f>IF(Summary!AM38&gt;20,1,0)</f>
        <v>1</v>
      </c>
      <c r="AD37">
        <f>IF(Summary!AN38&gt;20,1,0)</f>
        <v>1</v>
      </c>
      <c r="AE37">
        <f>IF(Summary!AO38&gt;20,1,0)</f>
        <v>1</v>
      </c>
      <c r="AF37">
        <f>IF(Summary!AP38&gt;20,1,0)</f>
        <v>1</v>
      </c>
      <c r="AG37">
        <f>IF(Summary!AQ38&gt;20,1,0)</f>
        <v>1</v>
      </c>
      <c r="AH37">
        <f>IF(Summary!AR38&gt;20,1,0)</f>
        <v>1</v>
      </c>
      <c r="AI37">
        <f>IF(Summary!AS38&gt;20,1,0)</f>
        <v>1</v>
      </c>
      <c r="AJ37">
        <f>IF(Summary!AT38&gt;20,1,0)</f>
        <v>1</v>
      </c>
      <c r="AK37">
        <f>IF(Summary!AU38&gt;20,1,0)</f>
        <v>1</v>
      </c>
      <c r="AL37">
        <f>IF(Summary!AV38&gt;20,1,0)</f>
        <v>1</v>
      </c>
      <c r="AM37">
        <f>IF(Summary!AW38&gt;20,1,0)</f>
        <v>1</v>
      </c>
      <c r="AO37">
        <v>36</v>
      </c>
      <c r="AP37">
        <f t="shared" si="2"/>
        <v>35</v>
      </c>
      <c r="AQ37">
        <f t="shared" si="3"/>
        <v>1613</v>
      </c>
      <c r="AS37">
        <f>B37*Summary!L38</f>
        <v>55</v>
      </c>
      <c r="AT37">
        <f>C37*Summary!M38</f>
        <v>42</v>
      </c>
      <c r="AU37">
        <f>D37*Summary!N38</f>
        <v>0</v>
      </c>
      <c r="AV37">
        <f>E37*Summary!O38</f>
        <v>51</v>
      </c>
      <c r="AW37">
        <f>F37*Summary!P38</f>
        <v>26</v>
      </c>
      <c r="AX37">
        <f>G37*Summary!Q38</f>
        <v>39</v>
      </c>
      <c r="AY37">
        <f>H37*Summary!R38</f>
        <v>52</v>
      </c>
      <c r="AZ37">
        <f>I37*Summary!S38</f>
        <v>35</v>
      </c>
      <c r="BA37">
        <f>J37*Summary!T38</f>
        <v>53</v>
      </c>
      <c r="BB37">
        <f>K37*Summary!U38</f>
        <v>49</v>
      </c>
      <c r="BC37">
        <f>L37*Summary!V38</f>
        <v>45</v>
      </c>
      <c r="BD37">
        <f>M37*Summary!W38</f>
        <v>44</v>
      </c>
      <c r="BE37">
        <f>N37*Summary!X38</f>
        <v>44</v>
      </c>
      <c r="BF37">
        <f>O37*Summary!Y38</f>
        <v>47</v>
      </c>
      <c r="BG37">
        <f>P37*Summary!Z38</f>
        <v>57</v>
      </c>
      <c r="BH37">
        <f>Q37*Summary!AA38</f>
        <v>0</v>
      </c>
      <c r="BI37">
        <f>R37*Summary!AB38</f>
        <v>47</v>
      </c>
      <c r="BJ37">
        <f>S37*Summary!AC38</f>
        <v>0</v>
      </c>
      <c r="BK37">
        <f>T37*Summary!AD38</f>
        <v>51</v>
      </c>
      <c r="BL37">
        <f>U37*Summary!AE38</f>
        <v>39</v>
      </c>
      <c r="BM37">
        <f>V37*Summary!AF38</f>
        <v>42</v>
      </c>
      <c r="BN37">
        <f>W37*Summary!AG38</f>
        <v>48</v>
      </c>
      <c r="BO37">
        <f>X37*Summary!AH38</f>
        <v>51</v>
      </c>
      <c r="BP37">
        <f>Y37*Summary!AI38</f>
        <v>46</v>
      </c>
      <c r="BQ37">
        <f>Z37*Summary!AJ38</f>
        <v>46</v>
      </c>
      <c r="BR37">
        <f>AA37*Summary!AK38</f>
        <v>39</v>
      </c>
      <c r="BS37">
        <f>AB37*Summary!AL38</f>
        <v>52</v>
      </c>
      <c r="BT37">
        <f>AC37*Summary!AM38</f>
        <v>46</v>
      </c>
      <c r="BU37">
        <f>AD37*Summary!AN38</f>
        <v>50</v>
      </c>
      <c r="BV37">
        <f>AE37*Summary!AO38</f>
        <v>53</v>
      </c>
      <c r="BW37">
        <f>AF37*Summary!AP38</f>
        <v>43</v>
      </c>
      <c r="BX37">
        <f>AG37*Summary!AQ38</f>
        <v>43</v>
      </c>
      <c r="BY37">
        <f>AH37*Summary!AR38</f>
        <v>49</v>
      </c>
      <c r="BZ37">
        <f>AI37*Summary!AS38</f>
        <v>44</v>
      </c>
      <c r="CA37">
        <f>AJ37*Summary!AT38</f>
        <v>47</v>
      </c>
      <c r="CB37">
        <f>AK37*Summary!AU38</f>
        <v>46</v>
      </c>
      <c r="CC37">
        <f>AL37*Summary!AV38</f>
        <v>43</v>
      </c>
      <c r="CD37">
        <f>AM37*Summary!AW38</f>
        <v>49</v>
      </c>
    </row>
    <row r="38" spans="1:82" x14ac:dyDescent="0.25">
      <c r="A38">
        <v>37</v>
      </c>
      <c r="B38">
        <f>IF(Summary!L39&gt;20,1,0)</f>
        <v>1</v>
      </c>
      <c r="C38">
        <f>IF(Summary!M39&gt;20,1,0)</f>
        <v>1</v>
      </c>
      <c r="D38">
        <f>IF(Summary!N39&gt;20,1,0)</f>
        <v>0</v>
      </c>
      <c r="E38">
        <f>IF(Summary!O39&gt;20,1,0)</f>
        <v>1</v>
      </c>
      <c r="F38">
        <f>IF(Summary!P39&gt;20,1,0)</f>
        <v>1</v>
      </c>
      <c r="G38">
        <f>IF(Summary!Q39&gt;20,1,0)</f>
        <v>1</v>
      </c>
      <c r="H38">
        <f>IF(Summary!R39&gt;20,1,0)</f>
        <v>1</v>
      </c>
      <c r="I38">
        <f>IF(Summary!S39&gt;20,1,0)</f>
        <v>1</v>
      </c>
      <c r="J38">
        <f>IF(Summary!T39&gt;20,1,0)</f>
        <v>1</v>
      </c>
      <c r="K38">
        <f>IF(Summary!U39&gt;20,1,0)</f>
        <v>1</v>
      </c>
      <c r="L38">
        <f>IF(Summary!V39&gt;20,1,0)</f>
        <v>1</v>
      </c>
      <c r="M38">
        <f>IF(Summary!W39&gt;20,1,0)</f>
        <v>1</v>
      </c>
      <c r="N38">
        <f>IF(Summary!X39&gt;20,1,0)</f>
        <v>1</v>
      </c>
      <c r="O38">
        <f>IF(Summary!Y39&gt;20,1,0)</f>
        <v>1</v>
      </c>
      <c r="P38">
        <f>IF(Summary!Z39&gt;20,1,0)</f>
        <v>1</v>
      </c>
      <c r="Q38">
        <f>IF(Summary!AA39&gt;20,1,0)</f>
        <v>0</v>
      </c>
      <c r="R38">
        <f>IF(Summary!AB39&gt;20,1,0)</f>
        <v>1</v>
      </c>
      <c r="S38">
        <f>IF(Summary!AC39&gt;20,1,0)</f>
        <v>0</v>
      </c>
      <c r="T38">
        <f>IF(Summary!AD39&gt;20,1,0)</f>
        <v>1</v>
      </c>
      <c r="U38">
        <f>IF(Summary!AE39&gt;20,1,0)</f>
        <v>1</v>
      </c>
      <c r="V38">
        <f>IF(Summary!AF39&gt;20,1,0)</f>
        <v>1</v>
      </c>
      <c r="W38">
        <f>IF(Summary!AG39&gt;20,1,0)</f>
        <v>1</v>
      </c>
      <c r="X38">
        <f>IF(Summary!AH39&gt;20,1,0)</f>
        <v>1</v>
      </c>
      <c r="Y38">
        <f>IF(Summary!AI39&gt;20,1,0)</f>
        <v>1</v>
      </c>
      <c r="Z38">
        <f>IF(Summary!AJ39&gt;20,1,0)</f>
        <v>1</v>
      </c>
      <c r="AA38">
        <f>IF(Summary!AK39&gt;20,1,0)</f>
        <v>1</v>
      </c>
      <c r="AB38">
        <f>IF(Summary!AL39&gt;20,1,0)</f>
        <v>1</v>
      </c>
      <c r="AC38">
        <f>IF(Summary!AM39&gt;20,1,0)</f>
        <v>1</v>
      </c>
      <c r="AD38">
        <f>IF(Summary!AN39&gt;20,1,0)</f>
        <v>1</v>
      </c>
      <c r="AE38">
        <f>IF(Summary!AO39&gt;20,1,0)</f>
        <v>1</v>
      </c>
      <c r="AF38">
        <f>IF(Summary!AP39&gt;20,1,0)</f>
        <v>1</v>
      </c>
      <c r="AG38">
        <f>IF(Summary!AQ39&gt;20,1,0)</f>
        <v>1</v>
      </c>
      <c r="AH38">
        <f>IF(Summary!AR39&gt;20,1,0)</f>
        <v>1</v>
      </c>
      <c r="AI38">
        <f>IF(Summary!AS39&gt;20,1,0)</f>
        <v>1</v>
      </c>
      <c r="AJ38">
        <f>IF(Summary!AT39&gt;20,1,0)</f>
        <v>1</v>
      </c>
      <c r="AK38">
        <f>IF(Summary!AU39&gt;20,1,0)</f>
        <v>1</v>
      </c>
      <c r="AL38">
        <f>IF(Summary!AV39&gt;20,1,0)</f>
        <v>1</v>
      </c>
      <c r="AM38">
        <f>IF(Summary!AW39&gt;20,1,0)</f>
        <v>1</v>
      </c>
      <c r="AO38">
        <v>37</v>
      </c>
      <c r="AP38">
        <f t="shared" si="2"/>
        <v>35</v>
      </c>
      <c r="AQ38">
        <f t="shared" si="3"/>
        <v>1618</v>
      </c>
      <c r="AS38">
        <f>B38*Summary!L39</f>
        <v>56</v>
      </c>
      <c r="AT38">
        <f>C38*Summary!M39</f>
        <v>42</v>
      </c>
      <c r="AU38">
        <f>D38*Summary!N39</f>
        <v>0</v>
      </c>
      <c r="AV38">
        <f>E38*Summary!O39</f>
        <v>50</v>
      </c>
      <c r="AW38">
        <f>F38*Summary!P39</f>
        <v>33</v>
      </c>
      <c r="AX38">
        <f>G38*Summary!Q39</f>
        <v>38</v>
      </c>
      <c r="AY38">
        <f>H38*Summary!R39</f>
        <v>47</v>
      </c>
      <c r="AZ38">
        <f>I38*Summary!S39</f>
        <v>23</v>
      </c>
      <c r="BA38">
        <f>J38*Summary!T39</f>
        <v>58</v>
      </c>
      <c r="BB38">
        <f>K38*Summary!U39</f>
        <v>46</v>
      </c>
      <c r="BC38">
        <f>L38*Summary!V39</f>
        <v>44</v>
      </c>
      <c r="BD38">
        <f>M38*Summary!W39</f>
        <v>45</v>
      </c>
      <c r="BE38">
        <f>N38*Summary!X39</f>
        <v>44</v>
      </c>
      <c r="BF38">
        <f>O38*Summary!Y39</f>
        <v>48</v>
      </c>
      <c r="BG38">
        <f>P38*Summary!Z39</f>
        <v>54</v>
      </c>
      <c r="BH38">
        <f>Q38*Summary!AA39</f>
        <v>0</v>
      </c>
      <c r="BI38">
        <f>R38*Summary!AB39</f>
        <v>46</v>
      </c>
      <c r="BJ38">
        <f>S38*Summary!AC39</f>
        <v>0</v>
      </c>
      <c r="BK38">
        <f>T38*Summary!AD39</f>
        <v>49</v>
      </c>
      <c r="BL38">
        <f>U38*Summary!AE39</f>
        <v>46</v>
      </c>
      <c r="BM38">
        <f>V38*Summary!AF39</f>
        <v>39</v>
      </c>
      <c r="BN38">
        <f>W38*Summary!AG39</f>
        <v>38</v>
      </c>
      <c r="BO38">
        <f>X38*Summary!AH39</f>
        <v>53</v>
      </c>
      <c r="BP38">
        <f>Y38*Summary!AI39</f>
        <v>54</v>
      </c>
      <c r="BQ38">
        <f>Z38*Summary!AJ39</f>
        <v>54</v>
      </c>
      <c r="BR38">
        <f>AA38*Summary!AK39</f>
        <v>46</v>
      </c>
      <c r="BS38">
        <f>AB38*Summary!AL39</f>
        <v>54</v>
      </c>
      <c r="BT38">
        <f>AC38*Summary!AM39</f>
        <v>45</v>
      </c>
      <c r="BU38">
        <f>AD38*Summary!AN39</f>
        <v>52</v>
      </c>
      <c r="BV38">
        <f>AE38*Summary!AO39</f>
        <v>54</v>
      </c>
      <c r="BW38">
        <f>AF38*Summary!AP39</f>
        <v>46</v>
      </c>
      <c r="BX38">
        <f>AG38*Summary!AQ39</f>
        <v>36</v>
      </c>
      <c r="BY38">
        <f>AH38*Summary!AR39</f>
        <v>49</v>
      </c>
      <c r="BZ38">
        <f>AI38*Summary!AS39</f>
        <v>50</v>
      </c>
      <c r="CA38">
        <f>AJ38*Summary!AT39</f>
        <v>51</v>
      </c>
      <c r="CB38">
        <f>AK38*Summary!AU39</f>
        <v>43</v>
      </c>
      <c r="CC38">
        <f>AL38*Summary!AV39</f>
        <v>39</v>
      </c>
      <c r="CD38">
        <f>AM38*Summary!AW39</f>
        <v>46</v>
      </c>
    </row>
    <row r="39" spans="1:82" x14ac:dyDescent="0.25">
      <c r="A39">
        <v>38</v>
      </c>
      <c r="B39">
        <f>IF(Summary!L40&gt;20,1,0)</f>
        <v>1</v>
      </c>
      <c r="C39">
        <f>IF(Summary!M40&gt;20,1,0)</f>
        <v>1</v>
      </c>
      <c r="D39">
        <f>IF(Summary!N40&gt;20,1,0)</f>
        <v>0</v>
      </c>
      <c r="E39">
        <f>IF(Summary!O40&gt;20,1,0)</f>
        <v>1</v>
      </c>
      <c r="F39">
        <f>IF(Summary!P40&gt;20,1,0)</f>
        <v>1</v>
      </c>
      <c r="G39">
        <f>IF(Summary!Q40&gt;20,1,0)</f>
        <v>1</v>
      </c>
      <c r="H39">
        <f>IF(Summary!R40&gt;20,1,0)</f>
        <v>1</v>
      </c>
      <c r="I39">
        <f>IF(Summary!S40&gt;20,1,0)</f>
        <v>0</v>
      </c>
      <c r="J39">
        <f>IF(Summary!T40&gt;20,1,0)</f>
        <v>1</v>
      </c>
      <c r="K39">
        <f>IF(Summary!U40&gt;20,1,0)</f>
        <v>1</v>
      </c>
      <c r="L39">
        <f>IF(Summary!V40&gt;20,1,0)</f>
        <v>1</v>
      </c>
      <c r="M39">
        <f>IF(Summary!W40&gt;20,1,0)</f>
        <v>1</v>
      </c>
      <c r="N39">
        <f>IF(Summary!X40&gt;20,1,0)</f>
        <v>1</v>
      </c>
      <c r="O39">
        <f>IF(Summary!Y40&gt;20,1,0)</f>
        <v>1</v>
      </c>
      <c r="P39">
        <f>IF(Summary!Z40&gt;20,1,0)</f>
        <v>1</v>
      </c>
      <c r="Q39">
        <f>IF(Summary!AA40&gt;20,1,0)</f>
        <v>0</v>
      </c>
      <c r="R39">
        <f>IF(Summary!AB40&gt;20,1,0)</f>
        <v>1</v>
      </c>
      <c r="S39">
        <f>IF(Summary!AC40&gt;20,1,0)</f>
        <v>0</v>
      </c>
      <c r="T39">
        <f>IF(Summary!AD40&gt;20,1,0)</f>
        <v>1</v>
      </c>
      <c r="U39">
        <f>IF(Summary!AE40&gt;20,1,0)</f>
        <v>1</v>
      </c>
      <c r="V39">
        <f>IF(Summary!AF40&gt;20,1,0)</f>
        <v>1</v>
      </c>
      <c r="W39">
        <f>IF(Summary!AG40&gt;20,1,0)</f>
        <v>1</v>
      </c>
      <c r="X39">
        <f>IF(Summary!AH40&gt;20,1,0)</f>
        <v>1</v>
      </c>
      <c r="Y39">
        <f>IF(Summary!AI40&gt;20,1,0)</f>
        <v>1</v>
      </c>
      <c r="Z39">
        <f>IF(Summary!AJ40&gt;20,1,0)</f>
        <v>1</v>
      </c>
      <c r="AA39">
        <f>IF(Summary!AK40&gt;20,1,0)</f>
        <v>1</v>
      </c>
      <c r="AB39">
        <f>IF(Summary!AL40&gt;20,1,0)</f>
        <v>1</v>
      </c>
      <c r="AC39">
        <f>IF(Summary!AM40&gt;20,1,0)</f>
        <v>1</v>
      </c>
      <c r="AD39">
        <f>IF(Summary!AN40&gt;20,1,0)</f>
        <v>1</v>
      </c>
      <c r="AE39">
        <f>IF(Summary!AO40&gt;20,1,0)</f>
        <v>1</v>
      </c>
      <c r="AF39">
        <f>IF(Summary!AP40&gt;20,1,0)</f>
        <v>1</v>
      </c>
      <c r="AG39">
        <f>IF(Summary!AQ40&gt;20,1,0)</f>
        <v>1</v>
      </c>
      <c r="AH39">
        <f>IF(Summary!AR40&gt;20,1,0)</f>
        <v>1</v>
      </c>
      <c r="AI39">
        <f>IF(Summary!AS40&gt;20,1,0)</f>
        <v>1</v>
      </c>
      <c r="AJ39">
        <f>IF(Summary!AT40&gt;20,1,0)</f>
        <v>1</v>
      </c>
      <c r="AK39">
        <f>IF(Summary!AU40&gt;20,1,0)</f>
        <v>1</v>
      </c>
      <c r="AL39">
        <f>IF(Summary!AV40&gt;20,1,0)</f>
        <v>1</v>
      </c>
      <c r="AM39">
        <f>IF(Summary!AW40&gt;20,1,0)</f>
        <v>1</v>
      </c>
      <c r="AO39">
        <v>38</v>
      </c>
      <c r="AP39">
        <f t="shared" si="2"/>
        <v>34</v>
      </c>
      <c r="AQ39">
        <f t="shared" si="3"/>
        <v>1519</v>
      </c>
      <c r="AS39">
        <f>B39*Summary!L40</f>
        <v>50</v>
      </c>
      <c r="AT39">
        <f>C39*Summary!M40</f>
        <v>40</v>
      </c>
      <c r="AU39">
        <f>D39*Summary!N40</f>
        <v>0</v>
      </c>
      <c r="AV39">
        <f>E39*Summary!O40</f>
        <v>47</v>
      </c>
      <c r="AW39">
        <f>F39*Summary!P40</f>
        <v>24</v>
      </c>
      <c r="AX39">
        <f>G39*Summary!Q40</f>
        <v>41</v>
      </c>
      <c r="AY39">
        <f>H39*Summary!R40</f>
        <v>49</v>
      </c>
      <c r="AZ39">
        <f>I39*Summary!S40</f>
        <v>0</v>
      </c>
      <c r="BA39">
        <f>J39*Summary!T40</f>
        <v>53</v>
      </c>
      <c r="BB39">
        <f>K39*Summary!U40</f>
        <v>45</v>
      </c>
      <c r="BC39">
        <f>L39*Summary!V40</f>
        <v>44</v>
      </c>
      <c r="BD39">
        <f>M39*Summary!W40</f>
        <v>46</v>
      </c>
      <c r="BE39">
        <f>N39*Summary!X40</f>
        <v>45</v>
      </c>
      <c r="BF39">
        <f>O39*Summary!Y40</f>
        <v>46</v>
      </c>
      <c r="BG39">
        <f>P39*Summary!Z40</f>
        <v>51</v>
      </c>
      <c r="BH39">
        <f>Q39*Summary!AA40</f>
        <v>0</v>
      </c>
      <c r="BI39">
        <f>R39*Summary!AB40</f>
        <v>50</v>
      </c>
      <c r="BJ39">
        <f>S39*Summary!AC40</f>
        <v>0</v>
      </c>
      <c r="BK39">
        <f>T39*Summary!AD40</f>
        <v>41</v>
      </c>
      <c r="BL39">
        <f>U39*Summary!AE40</f>
        <v>41</v>
      </c>
      <c r="BM39">
        <f>V39*Summary!AF40</f>
        <v>43</v>
      </c>
      <c r="BN39">
        <f>W39*Summary!AG40</f>
        <v>41</v>
      </c>
      <c r="BO39">
        <f>X39*Summary!AH40</f>
        <v>50</v>
      </c>
      <c r="BP39">
        <f>Y39*Summary!AI40</f>
        <v>38</v>
      </c>
      <c r="BQ39">
        <f>Z39*Summary!AJ40</f>
        <v>46</v>
      </c>
      <c r="BR39">
        <f>AA39*Summary!AK40</f>
        <v>49</v>
      </c>
      <c r="BS39">
        <f>AB39*Summary!AL40</f>
        <v>49</v>
      </c>
      <c r="BT39">
        <f>AC39*Summary!AM40</f>
        <v>43</v>
      </c>
      <c r="BU39">
        <f>AD39*Summary!AN40</f>
        <v>47</v>
      </c>
      <c r="BV39">
        <f>AE39*Summary!AO40</f>
        <v>50</v>
      </c>
      <c r="BW39">
        <f>AF39*Summary!AP40</f>
        <v>42</v>
      </c>
      <c r="BX39">
        <f>AG39*Summary!AQ40</f>
        <v>42</v>
      </c>
      <c r="BY39">
        <f>AH39*Summary!AR40</f>
        <v>47</v>
      </c>
      <c r="BZ39">
        <f>AI39*Summary!AS40</f>
        <v>41</v>
      </c>
      <c r="CA39">
        <f>AJ39*Summary!AT40</f>
        <v>50</v>
      </c>
      <c r="CB39">
        <f>AK39*Summary!AU40</f>
        <v>31</v>
      </c>
      <c r="CC39">
        <f>AL39*Summary!AV40</f>
        <v>47</v>
      </c>
      <c r="CD39">
        <f>AM39*Summary!AW40</f>
        <v>50</v>
      </c>
    </row>
    <row r="40" spans="1:82" x14ac:dyDescent="0.25">
      <c r="A40">
        <v>39</v>
      </c>
      <c r="B40">
        <f>IF(Summary!L41&gt;20,1,0)</f>
        <v>1</v>
      </c>
      <c r="C40">
        <f>IF(Summary!M41&gt;20,1,0)</f>
        <v>1</v>
      </c>
      <c r="D40">
        <f>IF(Summary!N41&gt;20,1,0)</f>
        <v>0</v>
      </c>
      <c r="E40">
        <f>IF(Summary!O41&gt;20,1,0)</f>
        <v>1</v>
      </c>
      <c r="F40">
        <f>IF(Summary!P41&gt;20,1,0)</f>
        <v>1</v>
      </c>
      <c r="G40">
        <f>IF(Summary!Q41&gt;20,1,0)</f>
        <v>1</v>
      </c>
      <c r="H40">
        <f>IF(Summary!R41&gt;20,1,0)</f>
        <v>1</v>
      </c>
      <c r="I40">
        <f>IF(Summary!S41&gt;20,1,0)</f>
        <v>0</v>
      </c>
      <c r="J40">
        <f>IF(Summary!T41&gt;20,1,0)</f>
        <v>1</v>
      </c>
      <c r="K40">
        <f>IF(Summary!U41&gt;20,1,0)</f>
        <v>1</v>
      </c>
      <c r="L40">
        <f>IF(Summary!V41&gt;20,1,0)</f>
        <v>1</v>
      </c>
      <c r="M40">
        <f>IF(Summary!W41&gt;20,1,0)</f>
        <v>1</v>
      </c>
      <c r="N40">
        <f>IF(Summary!X41&gt;20,1,0)</f>
        <v>1</v>
      </c>
      <c r="O40">
        <f>IF(Summary!Y41&gt;20,1,0)</f>
        <v>1</v>
      </c>
      <c r="P40">
        <f>IF(Summary!Z41&gt;20,1,0)</f>
        <v>1</v>
      </c>
      <c r="Q40">
        <f>IF(Summary!AA41&gt;20,1,0)</f>
        <v>0</v>
      </c>
      <c r="R40">
        <f>IF(Summary!AB41&gt;20,1,0)</f>
        <v>1</v>
      </c>
      <c r="S40">
        <f>IF(Summary!AC41&gt;20,1,0)</f>
        <v>0</v>
      </c>
      <c r="T40">
        <f>IF(Summary!AD41&gt;20,1,0)</f>
        <v>1</v>
      </c>
      <c r="U40">
        <f>IF(Summary!AE41&gt;20,1,0)</f>
        <v>1</v>
      </c>
      <c r="V40">
        <f>IF(Summary!AF41&gt;20,1,0)</f>
        <v>1</v>
      </c>
      <c r="W40">
        <f>IF(Summary!AG41&gt;20,1,0)</f>
        <v>1</v>
      </c>
      <c r="X40">
        <f>IF(Summary!AH41&gt;20,1,0)</f>
        <v>1</v>
      </c>
      <c r="Y40">
        <f>IF(Summary!AI41&gt;20,1,0)</f>
        <v>1</v>
      </c>
      <c r="Z40">
        <f>IF(Summary!AJ41&gt;20,1,0)</f>
        <v>1</v>
      </c>
      <c r="AA40">
        <f>IF(Summary!AK41&gt;20,1,0)</f>
        <v>1</v>
      </c>
      <c r="AB40">
        <f>IF(Summary!AL41&gt;20,1,0)</f>
        <v>1</v>
      </c>
      <c r="AC40">
        <f>IF(Summary!AM41&gt;20,1,0)</f>
        <v>1</v>
      </c>
      <c r="AD40">
        <f>IF(Summary!AN41&gt;20,1,0)</f>
        <v>1</v>
      </c>
      <c r="AE40">
        <f>IF(Summary!AO41&gt;20,1,0)</f>
        <v>1</v>
      </c>
      <c r="AF40">
        <f>IF(Summary!AP41&gt;20,1,0)</f>
        <v>1</v>
      </c>
      <c r="AG40">
        <f>IF(Summary!AQ41&gt;20,1,0)</f>
        <v>0</v>
      </c>
      <c r="AH40">
        <f>IF(Summary!AR41&gt;20,1,0)</f>
        <v>1</v>
      </c>
      <c r="AI40">
        <f>IF(Summary!AS41&gt;20,1,0)</f>
        <v>1</v>
      </c>
      <c r="AJ40">
        <f>IF(Summary!AT41&gt;20,1,0)</f>
        <v>1</v>
      </c>
      <c r="AK40">
        <f>IF(Summary!AU41&gt;20,1,0)</f>
        <v>1</v>
      </c>
      <c r="AL40">
        <f>IF(Summary!AV41&gt;20,1,0)</f>
        <v>1</v>
      </c>
      <c r="AM40">
        <f>IF(Summary!AW41&gt;20,1,0)</f>
        <v>1</v>
      </c>
      <c r="AO40">
        <v>39</v>
      </c>
      <c r="AP40">
        <f t="shared" si="2"/>
        <v>33</v>
      </c>
      <c r="AQ40">
        <f t="shared" si="3"/>
        <v>1530</v>
      </c>
      <c r="AS40">
        <f>B40*Summary!L41</f>
        <v>58</v>
      </c>
      <c r="AT40">
        <f>C40*Summary!M41</f>
        <v>42</v>
      </c>
      <c r="AU40">
        <f>D40*Summary!N41</f>
        <v>0</v>
      </c>
      <c r="AV40">
        <f>E40*Summary!O41</f>
        <v>49</v>
      </c>
      <c r="AW40">
        <f>F40*Summary!P41</f>
        <v>25</v>
      </c>
      <c r="AX40">
        <f>G40*Summary!Q41</f>
        <v>45</v>
      </c>
      <c r="AY40">
        <f>H40*Summary!R41</f>
        <v>52</v>
      </c>
      <c r="AZ40">
        <f>I40*Summary!S41</f>
        <v>0</v>
      </c>
      <c r="BA40">
        <f>J40*Summary!T41</f>
        <v>51</v>
      </c>
      <c r="BB40">
        <f>K40*Summary!U41</f>
        <v>47</v>
      </c>
      <c r="BC40">
        <f>L40*Summary!V41</f>
        <v>41</v>
      </c>
      <c r="BD40">
        <f>M40*Summary!W41</f>
        <v>47</v>
      </c>
      <c r="BE40">
        <f>N40*Summary!X41</f>
        <v>44</v>
      </c>
      <c r="BF40">
        <f>O40*Summary!Y41</f>
        <v>43</v>
      </c>
      <c r="BG40">
        <f>P40*Summary!Z41</f>
        <v>45</v>
      </c>
      <c r="BH40">
        <f>Q40*Summary!AA41</f>
        <v>0</v>
      </c>
      <c r="BI40">
        <f>R40*Summary!AB41</f>
        <v>50</v>
      </c>
      <c r="BJ40">
        <f>S40*Summary!AC41</f>
        <v>0</v>
      </c>
      <c r="BK40">
        <f>T40*Summary!AD41</f>
        <v>52</v>
      </c>
      <c r="BL40">
        <f>U40*Summary!AE41</f>
        <v>46</v>
      </c>
      <c r="BM40">
        <f>V40*Summary!AF41</f>
        <v>47</v>
      </c>
      <c r="BN40">
        <f>W40*Summary!AG41</f>
        <v>37</v>
      </c>
      <c r="BO40">
        <f>X40*Summary!AH41</f>
        <v>51</v>
      </c>
      <c r="BP40">
        <f>Y40*Summary!AI41</f>
        <v>35</v>
      </c>
      <c r="BQ40">
        <f>Z40*Summary!AJ41</f>
        <v>48</v>
      </c>
      <c r="BR40">
        <f>AA40*Summary!AK41</f>
        <v>53</v>
      </c>
      <c r="BS40">
        <f>AB40*Summary!AL41</f>
        <v>51</v>
      </c>
      <c r="BT40">
        <f>AC40*Summary!AM41</f>
        <v>48</v>
      </c>
      <c r="BU40">
        <f>AD40*Summary!AN41</f>
        <v>48</v>
      </c>
      <c r="BV40">
        <f>AE40*Summary!AO41</f>
        <v>46</v>
      </c>
      <c r="BW40">
        <f>AF40*Summary!AP41</f>
        <v>47</v>
      </c>
      <c r="BX40">
        <f>AG40*Summary!AQ41</f>
        <v>0</v>
      </c>
      <c r="BY40">
        <f>AH40*Summary!AR41</f>
        <v>48</v>
      </c>
      <c r="BZ40">
        <f>AI40*Summary!AS41</f>
        <v>43</v>
      </c>
      <c r="CA40">
        <f>AJ40*Summary!AT41</f>
        <v>50</v>
      </c>
      <c r="CB40">
        <f>AK40*Summary!AU41</f>
        <v>54</v>
      </c>
      <c r="CC40">
        <f>AL40*Summary!AV41</f>
        <v>44</v>
      </c>
      <c r="CD40">
        <f>AM40*Summary!AW41</f>
        <v>43</v>
      </c>
    </row>
    <row r="41" spans="1:82" x14ac:dyDescent="0.25">
      <c r="A41">
        <v>40</v>
      </c>
      <c r="B41">
        <f>IF(Summary!L42&gt;20,1,0)</f>
        <v>1</v>
      </c>
      <c r="C41">
        <f>IF(Summary!M42&gt;20,1,0)</f>
        <v>1</v>
      </c>
      <c r="D41">
        <f>IF(Summary!N42&gt;20,1,0)</f>
        <v>0</v>
      </c>
      <c r="E41">
        <f>IF(Summary!O42&gt;20,1,0)</f>
        <v>1</v>
      </c>
      <c r="F41">
        <f>IF(Summary!P42&gt;20,1,0)</f>
        <v>1</v>
      </c>
      <c r="G41">
        <f>IF(Summary!Q42&gt;20,1,0)</f>
        <v>1</v>
      </c>
      <c r="H41">
        <f>IF(Summary!R42&gt;20,1,0)</f>
        <v>1</v>
      </c>
      <c r="I41">
        <f>IF(Summary!S42&gt;20,1,0)</f>
        <v>0</v>
      </c>
      <c r="J41">
        <f>IF(Summary!T42&gt;20,1,0)</f>
        <v>1</v>
      </c>
      <c r="K41">
        <f>IF(Summary!U42&gt;20,1,0)</f>
        <v>1</v>
      </c>
      <c r="L41">
        <f>IF(Summary!V42&gt;20,1,0)</f>
        <v>1</v>
      </c>
      <c r="M41">
        <f>IF(Summary!W42&gt;20,1,0)</f>
        <v>1</v>
      </c>
      <c r="N41">
        <f>IF(Summary!X42&gt;20,1,0)</f>
        <v>1</v>
      </c>
      <c r="O41">
        <f>IF(Summary!Y42&gt;20,1,0)</f>
        <v>1</v>
      </c>
      <c r="P41">
        <f>IF(Summary!Z42&gt;20,1,0)</f>
        <v>1</v>
      </c>
      <c r="Q41">
        <f>IF(Summary!AA42&gt;20,1,0)</f>
        <v>0</v>
      </c>
      <c r="R41">
        <f>IF(Summary!AB42&gt;20,1,0)</f>
        <v>1</v>
      </c>
      <c r="S41">
        <f>IF(Summary!AC42&gt;20,1,0)</f>
        <v>0</v>
      </c>
      <c r="T41">
        <f>IF(Summary!AD42&gt;20,1,0)</f>
        <v>1</v>
      </c>
      <c r="U41">
        <f>IF(Summary!AE42&gt;20,1,0)</f>
        <v>1</v>
      </c>
      <c r="V41">
        <f>IF(Summary!AF42&gt;20,1,0)</f>
        <v>1</v>
      </c>
      <c r="W41">
        <f>IF(Summary!AG42&gt;20,1,0)</f>
        <v>1</v>
      </c>
      <c r="X41">
        <f>IF(Summary!AH42&gt;20,1,0)</f>
        <v>1</v>
      </c>
      <c r="Y41">
        <f>IF(Summary!AI42&gt;20,1,0)</f>
        <v>1</v>
      </c>
      <c r="Z41">
        <f>IF(Summary!AJ42&gt;20,1,0)</f>
        <v>1</v>
      </c>
      <c r="AA41">
        <f>IF(Summary!AK42&gt;20,1,0)</f>
        <v>1</v>
      </c>
      <c r="AB41">
        <f>IF(Summary!AL42&gt;20,1,0)</f>
        <v>1</v>
      </c>
      <c r="AC41">
        <f>IF(Summary!AM42&gt;20,1,0)</f>
        <v>1</v>
      </c>
      <c r="AD41">
        <f>IF(Summary!AN42&gt;20,1,0)</f>
        <v>1</v>
      </c>
      <c r="AE41">
        <f>IF(Summary!AO42&gt;20,1,0)</f>
        <v>1</v>
      </c>
      <c r="AF41">
        <f>IF(Summary!AP42&gt;20,1,0)</f>
        <v>1</v>
      </c>
      <c r="AG41">
        <f>IF(Summary!AQ42&gt;20,1,0)</f>
        <v>1</v>
      </c>
      <c r="AH41">
        <f>IF(Summary!AR42&gt;20,1,0)</f>
        <v>1</v>
      </c>
      <c r="AI41">
        <f>IF(Summary!AS42&gt;20,1,0)</f>
        <v>1</v>
      </c>
      <c r="AJ41">
        <f>IF(Summary!AT42&gt;20,1,0)</f>
        <v>1</v>
      </c>
      <c r="AK41">
        <f>IF(Summary!AU42&gt;20,1,0)</f>
        <v>1</v>
      </c>
      <c r="AL41">
        <f>IF(Summary!AV42&gt;20,1,0)</f>
        <v>1</v>
      </c>
      <c r="AM41">
        <f>IF(Summary!AW42&gt;20,1,0)</f>
        <v>1</v>
      </c>
      <c r="AO41">
        <v>40</v>
      </c>
      <c r="AP41">
        <f t="shared" si="2"/>
        <v>34</v>
      </c>
      <c r="AQ41">
        <f t="shared" si="3"/>
        <v>1557</v>
      </c>
      <c r="AS41">
        <f>B41*Summary!L42</f>
        <v>52</v>
      </c>
      <c r="AT41">
        <f>C41*Summary!M42</f>
        <v>38</v>
      </c>
      <c r="AU41">
        <f>D41*Summary!N42</f>
        <v>0</v>
      </c>
      <c r="AV41">
        <f>E41*Summary!O42</f>
        <v>48</v>
      </c>
      <c r="AW41">
        <f>F41*Summary!P42</f>
        <v>29</v>
      </c>
      <c r="AX41">
        <f>G41*Summary!Q42</f>
        <v>37</v>
      </c>
      <c r="AY41">
        <f>H41*Summary!R42</f>
        <v>51</v>
      </c>
      <c r="AZ41">
        <f>I41*Summary!S42</f>
        <v>0</v>
      </c>
      <c r="BA41">
        <f>J41*Summary!T42</f>
        <v>50</v>
      </c>
      <c r="BB41">
        <f>K41*Summary!U42</f>
        <v>45</v>
      </c>
      <c r="BC41">
        <f>L41*Summary!V42</f>
        <v>34</v>
      </c>
      <c r="BD41">
        <f>M41*Summary!W42</f>
        <v>44</v>
      </c>
      <c r="BE41">
        <f>N41*Summary!X42</f>
        <v>40</v>
      </c>
      <c r="BF41">
        <f>O41*Summary!Y42</f>
        <v>47</v>
      </c>
      <c r="BG41">
        <f>P41*Summary!Z42</f>
        <v>49</v>
      </c>
      <c r="BH41">
        <f>Q41*Summary!AA42</f>
        <v>0</v>
      </c>
      <c r="BI41">
        <f>R41*Summary!AB42</f>
        <v>52</v>
      </c>
      <c r="BJ41">
        <f>S41*Summary!AC42</f>
        <v>0</v>
      </c>
      <c r="BK41">
        <f>T41*Summary!AD42</f>
        <v>49</v>
      </c>
      <c r="BL41">
        <f>U41*Summary!AE42</f>
        <v>44</v>
      </c>
      <c r="BM41">
        <f>V41*Summary!AF42</f>
        <v>47</v>
      </c>
      <c r="BN41">
        <f>W41*Summary!AG42</f>
        <v>48</v>
      </c>
      <c r="BO41">
        <f>X41*Summary!AH42</f>
        <v>48</v>
      </c>
      <c r="BP41">
        <f>Y41*Summary!AI42</f>
        <v>51</v>
      </c>
      <c r="BQ41">
        <f>Z41*Summary!AJ42</f>
        <v>51</v>
      </c>
      <c r="BR41">
        <f>AA41*Summary!AK42</f>
        <v>37</v>
      </c>
      <c r="BS41">
        <f>AB41*Summary!AL42</f>
        <v>49</v>
      </c>
      <c r="BT41">
        <f>AC41*Summary!AM42</f>
        <v>44</v>
      </c>
      <c r="BU41">
        <f>AD41*Summary!AN42</f>
        <v>51</v>
      </c>
      <c r="BV41">
        <f>AE41*Summary!AO42</f>
        <v>52</v>
      </c>
      <c r="BW41">
        <f>AF41*Summary!AP42</f>
        <v>41</v>
      </c>
      <c r="BX41">
        <f>AG41*Summary!AQ42</f>
        <v>34</v>
      </c>
      <c r="BY41">
        <f>AH41*Summary!AR42</f>
        <v>50</v>
      </c>
      <c r="BZ41">
        <f>AI41*Summary!AS42</f>
        <v>50</v>
      </c>
      <c r="CA41">
        <f>AJ41*Summary!AT42</f>
        <v>54</v>
      </c>
      <c r="CB41">
        <f>AK41*Summary!AU42</f>
        <v>45</v>
      </c>
      <c r="CC41">
        <f>AL41*Summary!AV42</f>
        <v>46</v>
      </c>
      <c r="CD41">
        <f>AM41*Summary!AW42</f>
        <v>50</v>
      </c>
    </row>
    <row r="42" spans="1:82" x14ac:dyDescent="0.25">
      <c r="A42">
        <v>41</v>
      </c>
      <c r="B42">
        <f>IF(Summary!L43&gt;20,1,0)</f>
        <v>1</v>
      </c>
      <c r="C42">
        <f>IF(Summary!M43&gt;20,1,0)</f>
        <v>1</v>
      </c>
      <c r="D42">
        <f>IF(Summary!N43&gt;20,1,0)</f>
        <v>0</v>
      </c>
      <c r="E42">
        <f>IF(Summary!O43&gt;20,1,0)</f>
        <v>1</v>
      </c>
      <c r="F42">
        <f>IF(Summary!P43&gt;20,1,0)</f>
        <v>1</v>
      </c>
      <c r="G42">
        <f>IF(Summary!Q43&gt;20,1,0)</f>
        <v>1</v>
      </c>
      <c r="H42">
        <f>IF(Summary!R43&gt;20,1,0)</f>
        <v>1</v>
      </c>
      <c r="I42">
        <f>IF(Summary!S43&gt;20,1,0)</f>
        <v>0</v>
      </c>
      <c r="J42">
        <f>IF(Summary!T43&gt;20,1,0)</f>
        <v>1</v>
      </c>
      <c r="K42">
        <f>IF(Summary!U43&gt;20,1,0)</f>
        <v>1</v>
      </c>
      <c r="L42">
        <f>IF(Summary!V43&gt;20,1,0)</f>
        <v>1</v>
      </c>
      <c r="M42">
        <f>IF(Summary!W43&gt;20,1,0)</f>
        <v>1</v>
      </c>
      <c r="N42">
        <f>IF(Summary!X43&gt;20,1,0)</f>
        <v>1</v>
      </c>
      <c r="O42">
        <f>IF(Summary!Y43&gt;20,1,0)</f>
        <v>1</v>
      </c>
      <c r="P42">
        <f>IF(Summary!Z43&gt;20,1,0)</f>
        <v>1</v>
      </c>
      <c r="Q42">
        <f>IF(Summary!AA43&gt;20,1,0)</f>
        <v>0</v>
      </c>
      <c r="R42">
        <f>IF(Summary!AB43&gt;20,1,0)</f>
        <v>1</v>
      </c>
      <c r="S42">
        <f>IF(Summary!AC43&gt;20,1,0)</f>
        <v>0</v>
      </c>
      <c r="T42">
        <f>IF(Summary!AD43&gt;20,1,0)</f>
        <v>1</v>
      </c>
      <c r="U42">
        <f>IF(Summary!AE43&gt;20,1,0)</f>
        <v>1</v>
      </c>
      <c r="V42">
        <f>IF(Summary!AF43&gt;20,1,0)</f>
        <v>1</v>
      </c>
      <c r="W42">
        <f>IF(Summary!AG43&gt;20,1,0)</f>
        <v>1</v>
      </c>
      <c r="X42">
        <f>IF(Summary!AH43&gt;20,1,0)</f>
        <v>1</v>
      </c>
      <c r="Y42">
        <f>IF(Summary!AI43&gt;20,1,0)</f>
        <v>1</v>
      </c>
      <c r="Z42">
        <f>IF(Summary!AJ43&gt;20,1,0)</f>
        <v>1</v>
      </c>
      <c r="AA42">
        <f>IF(Summary!AK43&gt;20,1,0)</f>
        <v>1</v>
      </c>
      <c r="AB42">
        <f>IF(Summary!AL43&gt;20,1,0)</f>
        <v>1</v>
      </c>
      <c r="AC42">
        <f>IF(Summary!AM43&gt;20,1,0)</f>
        <v>1</v>
      </c>
      <c r="AD42">
        <f>IF(Summary!AN43&gt;20,1,0)</f>
        <v>1</v>
      </c>
      <c r="AE42">
        <f>IF(Summary!AO43&gt;20,1,0)</f>
        <v>1</v>
      </c>
      <c r="AF42">
        <f>IF(Summary!AP43&gt;20,1,0)</f>
        <v>1</v>
      </c>
      <c r="AG42">
        <f>IF(Summary!AQ43&gt;20,1,0)</f>
        <v>1</v>
      </c>
      <c r="AH42">
        <f>IF(Summary!AR43&gt;20,1,0)</f>
        <v>1</v>
      </c>
      <c r="AI42">
        <f>IF(Summary!AS43&gt;20,1,0)</f>
        <v>1</v>
      </c>
      <c r="AJ42">
        <f>IF(Summary!AT43&gt;20,1,0)</f>
        <v>1</v>
      </c>
      <c r="AK42">
        <f>IF(Summary!AU43&gt;20,1,0)</f>
        <v>1</v>
      </c>
      <c r="AL42">
        <f>IF(Summary!AV43&gt;20,1,0)</f>
        <v>1</v>
      </c>
      <c r="AM42">
        <f>IF(Summary!AW43&gt;20,1,0)</f>
        <v>1</v>
      </c>
      <c r="AO42">
        <v>41</v>
      </c>
      <c r="AP42">
        <f t="shared" si="2"/>
        <v>34</v>
      </c>
      <c r="AQ42">
        <f t="shared" si="3"/>
        <v>1513</v>
      </c>
      <c r="AS42">
        <f>B42*Summary!L43</f>
        <v>49</v>
      </c>
      <c r="AT42">
        <f>C42*Summary!M43</f>
        <v>37</v>
      </c>
      <c r="AU42">
        <f>D42*Summary!N43</f>
        <v>0</v>
      </c>
      <c r="AV42">
        <f>E42*Summary!O43</f>
        <v>50</v>
      </c>
      <c r="AW42">
        <f>F42*Summary!P43</f>
        <v>24</v>
      </c>
      <c r="AX42">
        <f>G42*Summary!Q43</f>
        <v>36</v>
      </c>
      <c r="AY42">
        <f>H42*Summary!R43</f>
        <v>47</v>
      </c>
      <c r="AZ42">
        <f>I42*Summary!S43</f>
        <v>0</v>
      </c>
      <c r="BA42">
        <f>J42*Summary!T43</f>
        <v>54</v>
      </c>
      <c r="BB42">
        <f>K42*Summary!U43</f>
        <v>42</v>
      </c>
      <c r="BC42">
        <f>L42*Summary!V43</f>
        <v>45</v>
      </c>
      <c r="BD42">
        <f>M42*Summary!W43</f>
        <v>45</v>
      </c>
      <c r="BE42">
        <f>N42*Summary!X43</f>
        <v>34</v>
      </c>
      <c r="BF42">
        <f>O42*Summary!Y43</f>
        <v>45</v>
      </c>
      <c r="BG42">
        <f>P42*Summary!Z43</f>
        <v>40</v>
      </c>
      <c r="BH42">
        <f>Q42*Summary!AA43</f>
        <v>0</v>
      </c>
      <c r="BI42">
        <f>R42*Summary!AB43</f>
        <v>47</v>
      </c>
      <c r="BJ42">
        <f>S42*Summary!AC43</f>
        <v>0</v>
      </c>
      <c r="BK42">
        <f>T42*Summary!AD43</f>
        <v>45</v>
      </c>
      <c r="BL42">
        <f>U42*Summary!AE43</f>
        <v>41</v>
      </c>
      <c r="BM42">
        <f>V42*Summary!AF43</f>
        <v>44</v>
      </c>
      <c r="BN42">
        <f>W42*Summary!AG43</f>
        <v>42</v>
      </c>
      <c r="BO42">
        <f>X42*Summary!AH43</f>
        <v>44</v>
      </c>
      <c r="BP42">
        <f>Y42*Summary!AI43</f>
        <v>43</v>
      </c>
      <c r="BQ42">
        <f>Z42*Summary!AJ43</f>
        <v>47</v>
      </c>
      <c r="BR42">
        <f>AA42*Summary!AK43</f>
        <v>39</v>
      </c>
      <c r="BS42">
        <f>AB42*Summary!AL43</f>
        <v>52</v>
      </c>
      <c r="BT42">
        <f>AC42*Summary!AM43</f>
        <v>43</v>
      </c>
      <c r="BU42">
        <f>AD42*Summary!AN43</f>
        <v>48</v>
      </c>
      <c r="BV42">
        <f>AE42*Summary!AO43</f>
        <v>49</v>
      </c>
      <c r="BW42">
        <f>AF42*Summary!AP43</f>
        <v>53</v>
      </c>
      <c r="BX42">
        <f>AG42*Summary!AQ43</f>
        <v>42</v>
      </c>
      <c r="BY42">
        <f>AH42*Summary!AR43</f>
        <v>52</v>
      </c>
      <c r="BZ42">
        <f>AI42*Summary!AS43</f>
        <v>47</v>
      </c>
      <c r="CA42">
        <f>AJ42*Summary!AT43</f>
        <v>53</v>
      </c>
      <c r="CB42">
        <f>AK42*Summary!AU43</f>
        <v>45</v>
      </c>
      <c r="CC42">
        <f>AL42*Summary!AV43</f>
        <v>46</v>
      </c>
      <c r="CD42">
        <f>AM42*Summary!AW43</f>
        <v>43</v>
      </c>
    </row>
    <row r="43" spans="1:82" x14ac:dyDescent="0.25">
      <c r="A43">
        <v>42</v>
      </c>
      <c r="B43">
        <f>IF(Summary!L44&gt;20,1,0)</f>
        <v>1</v>
      </c>
      <c r="C43">
        <f>IF(Summary!M44&gt;20,1,0)</f>
        <v>1</v>
      </c>
      <c r="D43">
        <f>IF(Summary!N44&gt;20,1,0)</f>
        <v>0</v>
      </c>
      <c r="E43">
        <f>IF(Summary!O44&gt;20,1,0)</f>
        <v>1</v>
      </c>
      <c r="F43">
        <f>IF(Summary!P44&gt;20,1,0)</f>
        <v>1</v>
      </c>
      <c r="G43">
        <f>IF(Summary!Q44&gt;20,1,0)</f>
        <v>1</v>
      </c>
      <c r="H43">
        <f>IF(Summary!R44&gt;20,1,0)</f>
        <v>1</v>
      </c>
      <c r="I43">
        <f>IF(Summary!S44&gt;20,1,0)</f>
        <v>0</v>
      </c>
      <c r="J43">
        <f>IF(Summary!T44&gt;20,1,0)</f>
        <v>1</v>
      </c>
      <c r="K43">
        <f>IF(Summary!U44&gt;20,1,0)</f>
        <v>1</v>
      </c>
      <c r="L43">
        <f>IF(Summary!V44&gt;20,1,0)</f>
        <v>1</v>
      </c>
      <c r="M43">
        <f>IF(Summary!W44&gt;20,1,0)</f>
        <v>1</v>
      </c>
      <c r="N43">
        <f>IF(Summary!X44&gt;20,1,0)</f>
        <v>1</v>
      </c>
      <c r="O43">
        <f>IF(Summary!Y44&gt;20,1,0)</f>
        <v>1</v>
      </c>
      <c r="P43">
        <f>IF(Summary!Z44&gt;20,1,0)</f>
        <v>1</v>
      </c>
      <c r="Q43">
        <f>IF(Summary!AA44&gt;20,1,0)</f>
        <v>0</v>
      </c>
      <c r="R43">
        <f>IF(Summary!AB44&gt;20,1,0)</f>
        <v>1</v>
      </c>
      <c r="S43">
        <f>IF(Summary!AC44&gt;20,1,0)</f>
        <v>0</v>
      </c>
      <c r="T43">
        <f>IF(Summary!AD44&gt;20,1,0)</f>
        <v>1</v>
      </c>
      <c r="U43">
        <f>IF(Summary!AE44&gt;20,1,0)</f>
        <v>1</v>
      </c>
      <c r="V43">
        <f>IF(Summary!AF44&gt;20,1,0)</f>
        <v>1</v>
      </c>
      <c r="W43">
        <f>IF(Summary!AG44&gt;20,1,0)</f>
        <v>1</v>
      </c>
      <c r="X43">
        <f>IF(Summary!AH44&gt;20,1,0)</f>
        <v>1</v>
      </c>
      <c r="Y43">
        <f>IF(Summary!AI44&gt;20,1,0)</f>
        <v>1</v>
      </c>
      <c r="Z43">
        <f>IF(Summary!AJ44&gt;20,1,0)</f>
        <v>1</v>
      </c>
      <c r="AA43">
        <f>IF(Summary!AK44&gt;20,1,0)</f>
        <v>1</v>
      </c>
      <c r="AB43">
        <f>IF(Summary!AL44&gt;20,1,0)</f>
        <v>1</v>
      </c>
      <c r="AC43">
        <f>IF(Summary!AM44&gt;20,1,0)</f>
        <v>1</v>
      </c>
      <c r="AD43">
        <f>IF(Summary!AN44&gt;20,1,0)</f>
        <v>1</v>
      </c>
      <c r="AE43">
        <f>IF(Summary!AO44&gt;20,1,0)</f>
        <v>1</v>
      </c>
      <c r="AF43">
        <f>IF(Summary!AP44&gt;20,1,0)</f>
        <v>1</v>
      </c>
      <c r="AG43">
        <f>IF(Summary!AQ44&gt;20,1,0)</f>
        <v>1</v>
      </c>
      <c r="AH43">
        <f>IF(Summary!AR44&gt;20,1,0)</f>
        <v>1</v>
      </c>
      <c r="AI43">
        <f>IF(Summary!AS44&gt;20,1,0)</f>
        <v>1</v>
      </c>
      <c r="AJ43">
        <f>IF(Summary!AT44&gt;20,1,0)</f>
        <v>1</v>
      </c>
      <c r="AK43">
        <f>IF(Summary!AU44&gt;20,1,0)</f>
        <v>1</v>
      </c>
      <c r="AL43">
        <f>IF(Summary!AV44&gt;20,1,0)</f>
        <v>1</v>
      </c>
      <c r="AM43">
        <f>IF(Summary!AW44&gt;20,1,0)</f>
        <v>1</v>
      </c>
      <c r="AO43">
        <v>42</v>
      </c>
      <c r="AP43">
        <f t="shared" si="2"/>
        <v>34</v>
      </c>
      <c r="AQ43">
        <f t="shared" si="3"/>
        <v>1556</v>
      </c>
      <c r="AS43">
        <f>B43*Summary!L44</f>
        <v>54</v>
      </c>
      <c r="AT43">
        <f>C43*Summary!M44</f>
        <v>40</v>
      </c>
      <c r="AU43">
        <f>D43*Summary!N44</f>
        <v>0</v>
      </c>
      <c r="AV43">
        <f>E43*Summary!O44</f>
        <v>47</v>
      </c>
      <c r="AW43">
        <f>F43*Summary!P44</f>
        <v>26</v>
      </c>
      <c r="AX43">
        <f>G43*Summary!Q44</f>
        <v>47</v>
      </c>
      <c r="AY43">
        <f>H43*Summary!R44</f>
        <v>50</v>
      </c>
      <c r="AZ43">
        <f>I43*Summary!S44</f>
        <v>0</v>
      </c>
      <c r="BA43">
        <f>J43*Summary!T44</f>
        <v>59</v>
      </c>
      <c r="BB43">
        <f>K43*Summary!U44</f>
        <v>48</v>
      </c>
      <c r="BC43">
        <f>L43*Summary!V44</f>
        <v>40</v>
      </c>
      <c r="BD43">
        <f>M43*Summary!W44</f>
        <v>46</v>
      </c>
      <c r="BE43">
        <f>N43*Summary!X44</f>
        <v>45</v>
      </c>
      <c r="BF43">
        <f>O43*Summary!Y44</f>
        <v>47</v>
      </c>
      <c r="BG43">
        <f>P43*Summary!Z44</f>
        <v>53</v>
      </c>
      <c r="BH43">
        <f>Q43*Summary!AA44</f>
        <v>0</v>
      </c>
      <c r="BI43">
        <f>R43*Summary!AB44</f>
        <v>48</v>
      </c>
      <c r="BJ43">
        <f>S43*Summary!AC44</f>
        <v>0</v>
      </c>
      <c r="BK43">
        <f>T43*Summary!AD44</f>
        <v>45</v>
      </c>
      <c r="BL43">
        <f>U43*Summary!AE44</f>
        <v>42</v>
      </c>
      <c r="BM43">
        <f>V43*Summary!AF44</f>
        <v>43</v>
      </c>
      <c r="BN43">
        <f>W43*Summary!AG44</f>
        <v>41</v>
      </c>
      <c r="BO43">
        <f>X43*Summary!AH44</f>
        <v>46</v>
      </c>
      <c r="BP43">
        <f>Y43*Summary!AI44</f>
        <v>39</v>
      </c>
      <c r="BQ43">
        <f>Z43*Summary!AJ44</f>
        <v>51</v>
      </c>
      <c r="BR43">
        <f>AA43*Summary!AK44</f>
        <v>40</v>
      </c>
      <c r="BS43">
        <f>AB43*Summary!AL44</f>
        <v>52</v>
      </c>
      <c r="BT43">
        <f>AC43*Summary!AM44</f>
        <v>43</v>
      </c>
      <c r="BU43">
        <f>AD43*Summary!AN44</f>
        <v>56</v>
      </c>
      <c r="BV43">
        <f>AE43*Summary!AO44</f>
        <v>47</v>
      </c>
      <c r="BW43">
        <f>AF43*Summary!AP44</f>
        <v>39</v>
      </c>
      <c r="BX43">
        <f>AG43*Summary!AQ44</f>
        <v>40</v>
      </c>
      <c r="BY43">
        <f>AH43*Summary!AR44</f>
        <v>51</v>
      </c>
      <c r="BZ43">
        <f>AI43*Summary!AS44</f>
        <v>45</v>
      </c>
      <c r="CA43">
        <f>AJ43*Summary!AT44</f>
        <v>48</v>
      </c>
      <c r="CB43">
        <f>AK43*Summary!AU44</f>
        <v>45</v>
      </c>
      <c r="CC43">
        <f>AL43*Summary!AV44</f>
        <v>47</v>
      </c>
      <c r="CD43">
        <f>AM43*Summary!AW44</f>
        <v>46</v>
      </c>
    </row>
    <row r="44" spans="1:82" x14ac:dyDescent="0.25">
      <c r="A44">
        <v>43</v>
      </c>
      <c r="B44">
        <f>IF(Summary!L45&gt;20,1,0)</f>
        <v>1</v>
      </c>
      <c r="C44">
        <f>IF(Summary!M45&gt;20,1,0)</f>
        <v>1</v>
      </c>
      <c r="D44">
        <f>IF(Summary!N45&gt;20,1,0)</f>
        <v>0</v>
      </c>
      <c r="E44">
        <f>IF(Summary!O45&gt;20,1,0)</f>
        <v>1</v>
      </c>
      <c r="F44">
        <f>IF(Summary!P45&gt;20,1,0)</f>
        <v>0</v>
      </c>
      <c r="G44">
        <f>IF(Summary!Q45&gt;20,1,0)</f>
        <v>1</v>
      </c>
      <c r="H44">
        <f>IF(Summary!R45&gt;20,1,0)</f>
        <v>1</v>
      </c>
      <c r="I44">
        <f>IF(Summary!S45&gt;20,1,0)</f>
        <v>0</v>
      </c>
      <c r="J44">
        <f>IF(Summary!T45&gt;20,1,0)</f>
        <v>1</v>
      </c>
      <c r="K44">
        <f>IF(Summary!U45&gt;20,1,0)</f>
        <v>1</v>
      </c>
      <c r="L44">
        <f>IF(Summary!V45&gt;20,1,0)</f>
        <v>1</v>
      </c>
      <c r="M44">
        <f>IF(Summary!W45&gt;20,1,0)</f>
        <v>1</v>
      </c>
      <c r="N44">
        <f>IF(Summary!X45&gt;20,1,0)</f>
        <v>1</v>
      </c>
      <c r="O44">
        <f>IF(Summary!Y45&gt;20,1,0)</f>
        <v>1</v>
      </c>
      <c r="P44">
        <f>IF(Summary!Z45&gt;20,1,0)</f>
        <v>1</v>
      </c>
      <c r="Q44">
        <f>IF(Summary!AA45&gt;20,1,0)</f>
        <v>0</v>
      </c>
      <c r="R44">
        <f>IF(Summary!AB45&gt;20,1,0)</f>
        <v>1</v>
      </c>
      <c r="S44">
        <f>IF(Summary!AC45&gt;20,1,0)</f>
        <v>0</v>
      </c>
      <c r="T44">
        <f>IF(Summary!AD45&gt;20,1,0)</f>
        <v>1</v>
      </c>
      <c r="U44">
        <f>IF(Summary!AE45&gt;20,1,0)</f>
        <v>1</v>
      </c>
      <c r="V44">
        <f>IF(Summary!AF45&gt;20,1,0)</f>
        <v>1</v>
      </c>
      <c r="W44">
        <f>IF(Summary!AG45&gt;20,1,0)</f>
        <v>1</v>
      </c>
      <c r="X44">
        <f>IF(Summary!AH45&gt;20,1,0)</f>
        <v>1</v>
      </c>
      <c r="Y44">
        <f>IF(Summary!AI45&gt;20,1,0)</f>
        <v>1</v>
      </c>
      <c r="Z44">
        <f>IF(Summary!AJ45&gt;20,1,0)</f>
        <v>1</v>
      </c>
      <c r="AA44">
        <f>IF(Summary!AK45&gt;20,1,0)</f>
        <v>1</v>
      </c>
      <c r="AB44">
        <f>IF(Summary!AL45&gt;20,1,0)</f>
        <v>1</v>
      </c>
      <c r="AC44">
        <f>IF(Summary!AM45&gt;20,1,0)</f>
        <v>1</v>
      </c>
      <c r="AD44">
        <f>IF(Summary!AN45&gt;20,1,0)</f>
        <v>1</v>
      </c>
      <c r="AE44">
        <f>IF(Summary!AO45&gt;20,1,0)</f>
        <v>1</v>
      </c>
      <c r="AF44">
        <f>IF(Summary!AP45&gt;20,1,0)</f>
        <v>1</v>
      </c>
      <c r="AG44">
        <f>IF(Summary!AQ45&gt;20,1,0)</f>
        <v>1</v>
      </c>
      <c r="AH44">
        <f>IF(Summary!AR45&gt;20,1,0)</f>
        <v>1</v>
      </c>
      <c r="AI44">
        <f>IF(Summary!AS45&gt;20,1,0)</f>
        <v>1</v>
      </c>
      <c r="AJ44">
        <f>IF(Summary!AT45&gt;20,1,0)</f>
        <v>1</v>
      </c>
      <c r="AK44">
        <f>IF(Summary!AU45&gt;20,1,0)</f>
        <v>1</v>
      </c>
      <c r="AL44">
        <f>IF(Summary!AV45&gt;20,1,0)</f>
        <v>1</v>
      </c>
      <c r="AM44">
        <f>IF(Summary!AW45&gt;20,1,0)</f>
        <v>1</v>
      </c>
      <c r="AO44">
        <v>43</v>
      </c>
      <c r="AP44">
        <f t="shared" si="2"/>
        <v>33</v>
      </c>
      <c r="AQ44">
        <f t="shared" si="3"/>
        <v>1534</v>
      </c>
      <c r="AS44">
        <f>B44*Summary!L45</f>
        <v>55</v>
      </c>
      <c r="AT44">
        <f>C44*Summary!M45</f>
        <v>45</v>
      </c>
      <c r="AU44">
        <f>D44*Summary!N45</f>
        <v>0</v>
      </c>
      <c r="AV44">
        <f>E44*Summary!O45</f>
        <v>44</v>
      </c>
      <c r="AW44">
        <f>F44*Summary!P45</f>
        <v>0</v>
      </c>
      <c r="AX44">
        <f>G44*Summary!Q45</f>
        <v>47</v>
      </c>
      <c r="AY44">
        <f>H44*Summary!R45</f>
        <v>54</v>
      </c>
      <c r="AZ44">
        <f>I44*Summary!S45</f>
        <v>0</v>
      </c>
      <c r="BA44">
        <f>J44*Summary!T45</f>
        <v>51</v>
      </c>
      <c r="BB44">
        <f>K44*Summary!U45</f>
        <v>40</v>
      </c>
      <c r="BC44">
        <f>L44*Summary!V45</f>
        <v>42</v>
      </c>
      <c r="BD44">
        <f>M44*Summary!W45</f>
        <v>49</v>
      </c>
      <c r="BE44">
        <f>N44*Summary!X45</f>
        <v>40</v>
      </c>
      <c r="BF44">
        <f>O44*Summary!Y45</f>
        <v>47</v>
      </c>
      <c r="BG44">
        <f>P44*Summary!Z45</f>
        <v>48</v>
      </c>
      <c r="BH44">
        <f>Q44*Summary!AA45</f>
        <v>0</v>
      </c>
      <c r="BI44">
        <f>R44*Summary!AB45</f>
        <v>50</v>
      </c>
      <c r="BJ44">
        <f>S44*Summary!AC45</f>
        <v>0</v>
      </c>
      <c r="BK44">
        <f>T44*Summary!AD45</f>
        <v>48</v>
      </c>
      <c r="BL44">
        <f>U44*Summary!AE45</f>
        <v>43</v>
      </c>
      <c r="BM44">
        <f>V44*Summary!AF45</f>
        <v>40</v>
      </c>
      <c r="BN44">
        <f>W44*Summary!AG45</f>
        <v>52</v>
      </c>
      <c r="BO44">
        <f>X44*Summary!AH45</f>
        <v>47</v>
      </c>
      <c r="BP44">
        <f>Y44*Summary!AI45</f>
        <v>45</v>
      </c>
      <c r="BQ44">
        <f>Z44*Summary!AJ45</f>
        <v>44</v>
      </c>
      <c r="BR44">
        <f>AA44*Summary!AK45</f>
        <v>43</v>
      </c>
      <c r="BS44">
        <f>AB44*Summary!AL45</f>
        <v>52</v>
      </c>
      <c r="BT44">
        <f>AC44*Summary!AM45</f>
        <v>51</v>
      </c>
      <c r="BU44">
        <f>AD44*Summary!AN45</f>
        <v>48</v>
      </c>
      <c r="BV44">
        <f>AE44*Summary!AO45</f>
        <v>47</v>
      </c>
      <c r="BW44">
        <f>AF44*Summary!AP45</f>
        <v>49</v>
      </c>
      <c r="BX44">
        <f>AG44*Summary!AQ45</f>
        <v>44</v>
      </c>
      <c r="BY44">
        <f>AH44*Summary!AR45</f>
        <v>47</v>
      </c>
      <c r="BZ44">
        <f>AI44*Summary!AS45</f>
        <v>46</v>
      </c>
      <c r="CA44">
        <f>AJ44*Summary!AT45</f>
        <v>44</v>
      </c>
      <c r="CB44">
        <f>AK44*Summary!AU45</f>
        <v>43</v>
      </c>
      <c r="CC44">
        <f>AL44*Summary!AV45</f>
        <v>46</v>
      </c>
      <c r="CD44">
        <f>AM44*Summary!AW45</f>
        <v>43</v>
      </c>
    </row>
    <row r="45" spans="1:82" x14ac:dyDescent="0.25">
      <c r="A45">
        <v>44</v>
      </c>
      <c r="B45">
        <f>IF(Summary!L46&gt;20,1,0)</f>
        <v>1</v>
      </c>
      <c r="C45">
        <f>IF(Summary!M46&gt;20,1,0)</f>
        <v>1</v>
      </c>
      <c r="D45">
        <f>IF(Summary!N46&gt;20,1,0)</f>
        <v>0</v>
      </c>
      <c r="E45">
        <f>IF(Summary!O46&gt;20,1,0)</f>
        <v>1</v>
      </c>
      <c r="F45">
        <f>IF(Summary!P46&gt;20,1,0)</f>
        <v>1</v>
      </c>
      <c r="G45">
        <f>IF(Summary!Q46&gt;20,1,0)</f>
        <v>1</v>
      </c>
      <c r="H45">
        <f>IF(Summary!R46&gt;20,1,0)</f>
        <v>1</v>
      </c>
      <c r="I45">
        <f>IF(Summary!S46&gt;20,1,0)</f>
        <v>0</v>
      </c>
      <c r="J45">
        <f>IF(Summary!T46&gt;20,1,0)</f>
        <v>1</v>
      </c>
      <c r="K45">
        <f>IF(Summary!U46&gt;20,1,0)</f>
        <v>1</v>
      </c>
      <c r="L45">
        <f>IF(Summary!V46&gt;20,1,0)</f>
        <v>1</v>
      </c>
      <c r="M45">
        <f>IF(Summary!W46&gt;20,1,0)</f>
        <v>1</v>
      </c>
      <c r="N45">
        <f>IF(Summary!X46&gt;20,1,0)</f>
        <v>1</v>
      </c>
      <c r="O45">
        <f>IF(Summary!Y46&gt;20,1,0)</f>
        <v>1</v>
      </c>
      <c r="P45">
        <f>IF(Summary!Z46&gt;20,1,0)</f>
        <v>1</v>
      </c>
      <c r="Q45">
        <f>IF(Summary!AA46&gt;20,1,0)</f>
        <v>0</v>
      </c>
      <c r="R45">
        <f>IF(Summary!AB46&gt;20,1,0)</f>
        <v>1</v>
      </c>
      <c r="S45">
        <f>IF(Summary!AC46&gt;20,1,0)</f>
        <v>0</v>
      </c>
      <c r="T45">
        <f>IF(Summary!AD46&gt;20,1,0)</f>
        <v>1</v>
      </c>
      <c r="U45">
        <f>IF(Summary!AE46&gt;20,1,0)</f>
        <v>1</v>
      </c>
      <c r="V45">
        <f>IF(Summary!AF46&gt;20,1,0)</f>
        <v>1</v>
      </c>
      <c r="W45">
        <f>IF(Summary!AG46&gt;20,1,0)</f>
        <v>1</v>
      </c>
      <c r="X45">
        <f>IF(Summary!AH46&gt;20,1,0)</f>
        <v>1</v>
      </c>
      <c r="Y45">
        <f>IF(Summary!AI46&gt;20,1,0)</f>
        <v>1</v>
      </c>
      <c r="Z45">
        <f>IF(Summary!AJ46&gt;20,1,0)</f>
        <v>1</v>
      </c>
      <c r="AA45">
        <f>IF(Summary!AK46&gt;20,1,0)</f>
        <v>1</v>
      </c>
      <c r="AB45">
        <f>IF(Summary!AL46&gt;20,1,0)</f>
        <v>1</v>
      </c>
      <c r="AC45">
        <f>IF(Summary!AM46&gt;20,1,0)</f>
        <v>1</v>
      </c>
      <c r="AD45">
        <f>IF(Summary!AN46&gt;20,1,0)</f>
        <v>1</v>
      </c>
      <c r="AE45">
        <f>IF(Summary!AO46&gt;20,1,0)</f>
        <v>1</v>
      </c>
      <c r="AF45">
        <f>IF(Summary!AP46&gt;20,1,0)</f>
        <v>1</v>
      </c>
      <c r="AG45">
        <f>IF(Summary!AQ46&gt;20,1,0)</f>
        <v>1</v>
      </c>
      <c r="AH45">
        <f>IF(Summary!AR46&gt;20,1,0)</f>
        <v>1</v>
      </c>
      <c r="AI45">
        <f>IF(Summary!AS46&gt;20,1,0)</f>
        <v>1</v>
      </c>
      <c r="AJ45">
        <f>IF(Summary!AT46&gt;20,1,0)</f>
        <v>1</v>
      </c>
      <c r="AK45">
        <f>IF(Summary!AU46&gt;20,1,0)</f>
        <v>1</v>
      </c>
      <c r="AL45">
        <f>IF(Summary!AV46&gt;20,1,0)</f>
        <v>1</v>
      </c>
      <c r="AM45">
        <f>IF(Summary!AW46&gt;20,1,0)</f>
        <v>1</v>
      </c>
      <c r="AO45">
        <v>44</v>
      </c>
      <c r="AP45">
        <f t="shared" si="2"/>
        <v>34</v>
      </c>
      <c r="AQ45">
        <f t="shared" si="3"/>
        <v>1582</v>
      </c>
      <c r="AS45">
        <f>B45*Summary!L46</f>
        <v>45</v>
      </c>
      <c r="AT45">
        <f>C45*Summary!M46</f>
        <v>24</v>
      </c>
      <c r="AU45">
        <f>D45*Summary!N46</f>
        <v>0</v>
      </c>
      <c r="AV45">
        <f>E45*Summary!O46</f>
        <v>47</v>
      </c>
      <c r="AW45">
        <f>F45*Summary!P46</f>
        <v>28</v>
      </c>
      <c r="AX45">
        <f>G45*Summary!Q46</f>
        <v>44</v>
      </c>
      <c r="AY45">
        <f>H45*Summary!R46</f>
        <v>51</v>
      </c>
      <c r="AZ45">
        <f>I45*Summary!S46</f>
        <v>0</v>
      </c>
      <c r="BA45">
        <f>J45*Summary!T46</f>
        <v>54</v>
      </c>
      <c r="BB45">
        <f>K45*Summary!U46</f>
        <v>47</v>
      </c>
      <c r="BC45">
        <f>L45*Summary!V46</f>
        <v>43</v>
      </c>
      <c r="BD45">
        <f>M45*Summary!W46</f>
        <v>50</v>
      </c>
      <c r="BE45">
        <f>N45*Summary!X46</f>
        <v>44</v>
      </c>
      <c r="BF45">
        <f>O45*Summary!Y46</f>
        <v>48</v>
      </c>
      <c r="BG45">
        <f>P45*Summary!Z46</f>
        <v>58</v>
      </c>
      <c r="BH45">
        <f>Q45*Summary!AA46</f>
        <v>0</v>
      </c>
      <c r="BI45">
        <f>R45*Summary!AB46</f>
        <v>47</v>
      </c>
      <c r="BJ45">
        <f>S45*Summary!AC46</f>
        <v>0</v>
      </c>
      <c r="BK45">
        <f>T45*Summary!AD46</f>
        <v>52</v>
      </c>
      <c r="BL45">
        <f>U45*Summary!AE46</f>
        <v>44</v>
      </c>
      <c r="BM45">
        <f>V45*Summary!AF46</f>
        <v>39</v>
      </c>
      <c r="BN45">
        <f>W45*Summary!AG46</f>
        <v>50</v>
      </c>
      <c r="BO45">
        <f>X45*Summary!AH46</f>
        <v>57</v>
      </c>
      <c r="BP45">
        <f>Y45*Summary!AI46</f>
        <v>54</v>
      </c>
      <c r="BQ45">
        <f>Z45*Summary!AJ46</f>
        <v>56</v>
      </c>
      <c r="BR45">
        <f>AA45*Summary!AK46</f>
        <v>49</v>
      </c>
      <c r="BS45">
        <f>AB45*Summary!AL46</f>
        <v>50</v>
      </c>
      <c r="BT45">
        <f>AC45*Summary!AM46</f>
        <v>45</v>
      </c>
      <c r="BU45">
        <f>AD45*Summary!AN46</f>
        <v>50</v>
      </c>
      <c r="BV45">
        <f>AE45*Summary!AO46</f>
        <v>49</v>
      </c>
      <c r="BW45">
        <f>AF45*Summary!AP46</f>
        <v>46</v>
      </c>
      <c r="BX45">
        <f>AG45*Summary!AQ46</f>
        <v>39</v>
      </c>
      <c r="BY45">
        <f>AH45*Summary!AR46</f>
        <v>52</v>
      </c>
      <c r="BZ45">
        <f>AI45*Summary!AS46</f>
        <v>51</v>
      </c>
      <c r="CA45">
        <f>AJ45*Summary!AT46</f>
        <v>51</v>
      </c>
      <c r="CB45">
        <f>AK45*Summary!AU46</f>
        <v>32</v>
      </c>
      <c r="CC45">
        <f>AL45*Summary!AV46</f>
        <v>44</v>
      </c>
      <c r="CD45">
        <f>AM45*Summary!AW46</f>
        <v>42</v>
      </c>
    </row>
    <row r="46" spans="1:82" x14ac:dyDescent="0.25">
      <c r="A46">
        <v>45</v>
      </c>
      <c r="B46">
        <f>IF(Summary!L47&gt;20,1,0)</f>
        <v>1</v>
      </c>
      <c r="C46">
        <f>IF(Summary!M47&gt;20,1,0)</f>
        <v>0</v>
      </c>
      <c r="D46">
        <f>IF(Summary!N47&gt;20,1,0)</f>
        <v>0</v>
      </c>
      <c r="E46">
        <f>IF(Summary!O47&gt;20,1,0)</f>
        <v>1</v>
      </c>
      <c r="F46">
        <f>IF(Summary!P47&gt;20,1,0)</f>
        <v>1</v>
      </c>
      <c r="G46">
        <f>IF(Summary!Q47&gt;20,1,0)</f>
        <v>1</v>
      </c>
      <c r="H46">
        <f>IF(Summary!R47&gt;20,1,0)</f>
        <v>1</v>
      </c>
      <c r="I46">
        <f>IF(Summary!S47&gt;20,1,0)</f>
        <v>0</v>
      </c>
      <c r="J46">
        <f>IF(Summary!T47&gt;20,1,0)</f>
        <v>1</v>
      </c>
      <c r="K46">
        <f>IF(Summary!U47&gt;20,1,0)</f>
        <v>1</v>
      </c>
      <c r="L46">
        <f>IF(Summary!V47&gt;20,1,0)</f>
        <v>1</v>
      </c>
      <c r="M46">
        <f>IF(Summary!W47&gt;20,1,0)</f>
        <v>1</v>
      </c>
      <c r="N46">
        <f>IF(Summary!X47&gt;20,1,0)</f>
        <v>1</v>
      </c>
      <c r="O46">
        <f>IF(Summary!Y47&gt;20,1,0)</f>
        <v>1</v>
      </c>
      <c r="P46">
        <f>IF(Summary!Z47&gt;20,1,0)</f>
        <v>1</v>
      </c>
      <c r="Q46">
        <f>IF(Summary!AA47&gt;20,1,0)</f>
        <v>0</v>
      </c>
      <c r="R46">
        <f>IF(Summary!AB47&gt;20,1,0)</f>
        <v>1</v>
      </c>
      <c r="S46">
        <f>IF(Summary!AC47&gt;20,1,0)</f>
        <v>0</v>
      </c>
      <c r="T46">
        <f>IF(Summary!AD47&gt;20,1,0)</f>
        <v>1</v>
      </c>
      <c r="U46">
        <f>IF(Summary!AE47&gt;20,1,0)</f>
        <v>1</v>
      </c>
      <c r="V46">
        <f>IF(Summary!AF47&gt;20,1,0)</f>
        <v>1</v>
      </c>
      <c r="W46">
        <f>IF(Summary!AG47&gt;20,1,0)</f>
        <v>1</v>
      </c>
      <c r="X46">
        <f>IF(Summary!AH47&gt;20,1,0)</f>
        <v>1</v>
      </c>
      <c r="Y46">
        <f>IF(Summary!AI47&gt;20,1,0)</f>
        <v>1</v>
      </c>
      <c r="Z46">
        <f>IF(Summary!AJ47&gt;20,1,0)</f>
        <v>1</v>
      </c>
      <c r="AA46">
        <f>IF(Summary!AK47&gt;20,1,0)</f>
        <v>1</v>
      </c>
      <c r="AB46">
        <f>IF(Summary!AL47&gt;20,1,0)</f>
        <v>1</v>
      </c>
      <c r="AC46">
        <f>IF(Summary!AM47&gt;20,1,0)</f>
        <v>1</v>
      </c>
      <c r="AD46">
        <f>IF(Summary!AN47&gt;20,1,0)</f>
        <v>1</v>
      </c>
      <c r="AE46">
        <f>IF(Summary!AO47&gt;20,1,0)</f>
        <v>1</v>
      </c>
      <c r="AF46">
        <f>IF(Summary!AP47&gt;20,1,0)</f>
        <v>1</v>
      </c>
      <c r="AG46">
        <f>IF(Summary!AQ47&gt;20,1,0)</f>
        <v>1</v>
      </c>
      <c r="AH46">
        <f>IF(Summary!AR47&gt;20,1,0)</f>
        <v>1</v>
      </c>
      <c r="AI46">
        <f>IF(Summary!AS47&gt;20,1,0)</f>
        <v>1</v>
      </c>
      <c r="AJ46">
        <f>IF(Summary!AT47&gt;20,1,0)</f>
        <v>1</v>
      </c>
      <c r="AK46">
        <f>IF(Summary!AU47&gt;20,1,0)</f>
        <v>1</v>
      </c>
      <c r="AL46">
        <f>IF(Summary!AV47&gt;20,1,0)</f>
        <v>1</v>
      </c>
      <c r="AM46">
        <f>IF(Summary!AW47&gt;20,1,0)</f>
        <v>1</v>
      </c>
      <c r="AO46">
        <v>45</v>
      </c>
      <c r="AP46">
        <f t="shared" si="2"/>
        <v>33</v>
      </c>
      <c r="AQ46">
        <f t="shared" si="3"/>
        <v>1506</v>
      </c>
      <c r="AS46">
        <f>B46*Summary!L47</f>
        <v>51</v>
      </c>
      <c r="AT46">
        <f>C46*Summary!M47</f>
        <v>0</v>
      </c>
      <c r="AU46">
        <f>D46*Summary!N47</f>
        <v>0</v>
      </c>
      <c r="AV46">
        <f>E46*Summary!O47</f>
        <v>51</v>
      </c>
      <c r="AW46">
        <f>F46*Summary!P47</f>
        <v>25</v>
      </c>
      <c r="AX46">
        <f>G46*Summary!Q47</f>
        <v>39</v>
      </c>
      <c r="AY46">
        <f>H46*Summary!R47</f>
        <v>49</v>
      </c>
      <c r="AZ46">
        <f>I46*Summary!S47</f>
        <v>0</v>
      </c>
      <c r="BA46">
        <f>J46*Summary!T47</f>
        <v>50</v>
      </c>
      <c r="BB46">
        <f>K46*Summary!U47</f>
        <v>38</v>
      </c>
      <c r="BC46">
        <f>L46*Summary!V47</f>
        <v>46</v>
      </c>
      <c r="BD46">
        <f>M46*Summary!W47</f>
        <v>45</v>
      </c>
      <c r="BE46">
        <f>N46*Summary!X47</f>
        <v>46</v>
      </c>
      <c r="BF46">
        <f>O46*Summary!Y47</f>
        <v>47</v>
      </c>
      <c r="BG46">
        <f>P46*Summary!Z47</f>
        <v>53</v>
      </c>
      <c r="BH46">
        <f>Q46*Summary!AA47</f>
        <v>0</v>
      </c>
      <c r="BI46">
        <f>R46*Summary!AB47</f>
        <v>52</v>
      </c>
      <c r="BJ46">
        <f>S46*Summary!AC47</f>
        <v>0</v>
      </c>
      <c r="BK46">
        <f>T46*Summary!AD47</f>
        <v>42</v>
      </c>
      <c r="BL46">
        <f>U46*Summary!AE47</f>
        <v>44</v>
      </c>
      <c r="BM46">
        <f>V46*Summary!AF47</f>
        <v>46</v>
      </c>
      <c r="BN46">
        <f>W46*Summary!AG47</f>
        <v>44</v>
      </c>
      <c r="BO46">
        <f>X46*Summary!AH47</f>
        <v>47</v>
      </c>
      <c r="BP46">
        <f>Y46*Summary!AI47</f>
        <v>47</v>
      </c>
      <c r="BQ46">
        <f>Z46*Summary!AJ47</f>
        <v>48</v>
      </c>
      <c r="BR46">
        <f>AA46*Summary!AK47</f>
        <v>54</v>
      </c>
      <c r="BS46">
        <f>AB46*Summary!AL47</f>
        <v>58</v>
      </c>
      <c r="BT46">
        <f>AC46*Summary!AM47</f>
        <v>45</v>
      </c>
      <c r="BU46">
        <f>AD46*Summary!AN47</f>
        <v>50</v>
      </c>
      <c r="BV46">
        <f>AE46*Summary!AO47</f>
        <v>43</v>
      </c>
      <c r="BW46">
        <f>AF46*Summary!AP47</f>
        <v>47</v>
      </c>
      <c r="BX46">
        <f>AG46*Summary!AQ47</f>
        <v>42</v>
      </c>
      <c r="BY46">
        <f>AH46*Summary!AR47</f>
        <v>44</v>
      </c>
      <c r="BZ46">
        <f>AI46*Summary!AS47</f>
        <v>46</v>
      </c>
      <c r="CA46">
        <f>AJ46*Summary!AT47</f>
        <v>51</v>
      </c>
      <c r="CB46">
        <f>AK46*Summary!AU47</f>
        <v>26</v>
      </c>
      <c r="CC46">
        <f>AL46*Summary!AV47</f>
        <v>50</v>
      </c>
      <c r="CD46">
        <f>AM46*Summary!AW47</f>
        <v>40</v>
      </c>
    </row>
    <row r="47" spans="1:82" x14ac:dyDescent="0.25">
      <c r="A47">
        <v>46</v>
      </c>
      <c r="B47">
        <f>IF(Summary!L48&gt;20,1,0)</f>
        <v>1</v>
      </c>
      <c r="C47">
        <f>IF(Summary!M48&gt;20,1,0)</f>
        <v>0</v>
      </c>
      <c r="D47">
        <f>IF(Summary!N48&gt;20,1,0)</f>
        <v>0</v>
      </c>
      <c r="E47">
        <f>IF(Summary!O48&gt;20,1,0)</f>
        <v>1</v>
      </c>
      <c r="F47">
        <f>IF(Summary!P48&gt;20,1,0)</f>
        <v>1</v>
      </c>
      <c r="G47">
        <f>IF(Summary!Q48&gt;20,1,0)</f>
        <v>1</v>
      </c>
      <c r="H47">
        <f>IF(Summary!R48&gt;20,1,0)</f>
        <v>1</v>
      </c>
      <c r="I47">
        <f>IF(Summary!S48&gt;20,1,0)</f>
        <v>1</v>
      </c>
      <c r="J47">
        <f>IF(Summary!T48&gt;20,1,0)</f>
        <v>1</v>
      </c>
      <c r="K47">
        <f>IF(Summary!U48&gt;20,1,0)</f>
        <v>1</v>
      </c>
      <c r="L47">
        <f>IF(Summary!V48&gt;20,1,0)</f>
        <v>1</v>
      </c>
      <c r="M47">
        <f>IF(Summary!W48&gt;20,1,0)</f>
        <v>1</v>
      </c>
      <c r="N47">
        <f>IF(Summary!X48&gt;20,1,0)</f>
        <v>1</v>
      </c>
      <c r="O47">
        <f>IF(Summary!Y48&gt;20,1,0)</f>
        <v>1</v>
      </c>
      <c r="P47">
        <f>IF(Summary!Z48&gt;20,1,0)</f>
        <v>1</v>
      </c>
      <c r="Q47">
        <f>IF(Summary!AA48&gt;20,1,0)</f>
        <v>0</v>
      </c>
      <c r="R47">
        <f>IF(Summary!AB48&gt;20,1,0)</f>
        <v>1</v>
      </c>
      <c r="S47">
        <f>IF(Summary!AC48&gt;20,1,0)</f>
        <v>0</v>
      </c>
      <c r="T47">
        <f>IF(Summary!AD48&gt;20,1,0)</f>
        <v>1</v>
      </c>
      <c r="U47">
        <f>IF(Summary!AE48&gt;20,1,0)</f>
        <v>1</v>
      </c>
      <c r="V47">
        <f>IF(Summary!AF48&gt;20,1,0)</f>
        <v>1</v>
      </c>
      <c r="W47">
        <f>IF(Summary!AG48&gt;20,1,0)</f>
        <v>1</v>
      </c>
      <c r="X47">
        <f>IF(Summary!AH48&gt;20,1,0)</f>
        <v>1</v>
      </c>
      <c r="Y47">
        <f>IF(Summary!AI48&gt;20,1,0)</f>
        <v>1</v>
      </c>
      <c r="Z47">
        <f>IF(Summary!AJ48&gt;20,1,0)</f>
        <v>1</v>
      </c>
      <c r="AA47">
        <f>IF(Summary!AK48&gt;20,1,0)</f>
        <v>1</v>
      </c>
      <c r="AB47">
        <f>IF(Summary!AL48&gt;20,1,0)</f>
        <v>1</v>
      </c>
      <c r="AC47">
        <f>IF(Summary!AM48&gt;20,1,0)</f>
        <v>1</v>
      </c>
      <c r="AD47">
        <f>IF(Summary!AN48&gt;20,1,0)</f>
        <v>1</v>
      </c>
      <c r="AE47">
        <f>IF(Summary!AO48&gt;20,1,0)</f>
        <v>1</v>
      </c>
      <c r="AF47">
        <f>IF(Summary!AP48&gt;20,1,0)</f>
        <v>1</v>
      </c>
      <c r="AG47">
        <f>IF(Summary!AQ48&gt;20,1,0)</f>
        <v>1</v>
      </c>
      <c r="AH47">
        <f>IF(Summary!AR48&gt;20,1,0)</f>
        <v>1</v>
      </c>
      <c r="AI47">
        <f>IF(Summary!AS48&gt;20,1,0)</f>
        <v>1</v>
      </c>
      <c r="AJ47">
        <f>IF(Summary!AT48&gt;20,1,0)</f>
        <v>1</v>
      </c>
      <c r="AK47">
        <f>IF(Summary!AU48&gt;20,1,0)</f>
        <v>1</v>
      </c>
      <c r="AL47">
        <f>IF(Summary!AV48&gt;20,1,0)</f>
        <v>1</v>
      </c>
      <c r="AM47">
        <f>IF(Summary!AW48&gt;20,1,0)</f>
        <v>1</v>
      </c>
      <c r="AO47">
        <v>46</v>
      </c>
      <c r="AP47">
        <f t="shared" si="2"/>
        <v>34</v>
      </c>
      <c r="AQ47">
        <f t="shared" si="3"/>
        <v>1556</v>
      </c>
      <c r="AS47">
        <f>B47*Summary!L48</f>
        <v>53</v>
      </c>
      <c r="AT47">
        <f>C47*Summary!M48</f>
        <v>0</v>
      </c>
      <c r="AU47">
        <f>D47*Summary!N48</f>
        <v>0</v>
      </c>
      <c r="AV47">
        <f>E47*Summary!O48</f>
        <v>52</v>
      </c>
      <c r="AW47">
        <f>F47*Summary!P48</f>
        <v>28</v>
      </c>
      <c r="AX47">
        <f>G47*Summary!Q48</f>
        <v>45</v>
      </c>
      <c r="AY47">
        <f>H47*Summary!R48</f>
        <v>48</v>
      </c>
      <c r="AZ47">
        <f>I47*Summary!S48</f>
        <v>25</v>
      </c>
      <c r="BA47">
        <f>J47*Summary!T48</f>
        <v>55</v>
      </c>
      <c r="BB47">
        <f>K47*Summary!U48</f>
        <v>47</v>
      </c>
      <c r="BC47">
        <f>L47*Summary!V48</f>
        <v>46</v>
      </c>
      <c r="BD47">
        <f>M47*Summary!W48</f>
        <v>47</v>
      </c>
      <c r="BE47">
        <f>N47*Summary!X48</f>
        <v>35</v>
      </c>
      <c r="BF47">
        <f>O47*Summary!Y48</f>
        <v>44</v>
      </c>
      <c r="BG47">
        <f>P47*Summary!Z48</f>
        <v>47</v>
      </c>
      <c r="BH47">
        <f>Q47*Summary!AA48</f>
        <v>0</v>
      </c>
      <c r="BI47">
        <f>R47*Summary!AB48</f>
        <v>53</v>
      </c>
      <c r="BJ47">
        <f>S47*Summary!AC48</f>
        <v>0</v>
      </c>
      <c r="BK47">
        <f>T47*Summary!AD48</f>
        <v>50</v>
      </c>
      <c r="BL47">
        <f>U47*Summary!AE48</f>
        <v>41</v>
      </c>
      <c r="BM47">
        <f>V47*Summary!AF48</f>
        <v>48</v>
      </c>
      <c r="BN47">
        <f>W47*Summary!AG48</f>
        <v>51</v>
      </c>
      <c r="BO47">
        <f>X47*Summary!AH48</f>
        <v>44</v>
      </c>
      <c r="BP47">
        <f>Y47*Summary!AI48</f>
        <v>46</v>
      </c>
      <c r="BQ47">
        <f>Z47*Summary!AJ48</f>
        <v>44</v>
      </c>
      <c r="BR47">
        <f>AA47*Summary!AK48</f>
        <v>43</v>
      </c>
      <c r="BS47">
        <f>AB47*Summary!AL48</f>
        <v>62</v>
      </c>
      <c r="BT47">
        <f>AC47*Summary!AM48</f>
        <v>49</v>
      </c>
      <c r="BU47">
        <f>AD47*Summary!AN48</f>
        <v>50</v>
      </c>
      <c r="BV47">
        <f>AE47*Summary!AO48</f>
        <v>51</v>
      </c>
      <c r="BW47">
        <f>AF47*Summary!AP48</f>
        <v>45</v>
      </c>
      <c r="BX47">
        <f>AG47*Summary!AQ48</f>
        <v>45</v>
      </c>
      <c r="BY47">
        <f>AH47*Summary!AR48</f>
        <v>47</v>
      </c>
      <c r="BZ47">
        <f>AI47*Summary!AS48</f>
        <v>41</v>
      </c>
      <c r="CA47">
        <f>AJ47*Summary!AT48</f>
        <v>49</v>
      </c>
      <c r="CB47">
        <f>AK47*Summary!AU48</f>
        <v>40</v>
      </c>
      <c r="CC47">
        <f>AL47*Summary!AV48</f>
        <v>42</v>
      </c>
      <c r="CD47">
        <f>AM47*Summary!AW48</f>
        <v>43</v>
      </c>
    </row>
    <row r="48" spans="1:82" x14ac:dyDescent="0.25">
      <c r="A48">
        <v>47</v>
      </c>
      <c r="B48">
        <f>IF(Summary!L49&gt;20,1,0)</f>
        <v>1</v>
      </c>
      <c r="C48">
        <f>IF(Summary!M49&gt;20,1,0)</f>
        <v>0</v>
      </c>
      <c r="D48">
        <f>IF(Summary!N49&gt;20,1,0)</f>
        <v>0</v>
      </c>
      <c r="E48">
        <f>IF(Summary!O49&gt;20,1,0)</f>
        <v>1</v>
      </c>
      <c r="F48">
        <f>IF(Summary!P49&gt;20,1,0)</f>
        <v>1</v>
      </c>
      <c r="G48">
        <f>IF(Summary!Q49&gt;20,1,0)</f>
        <v>1</v>
      </c>
      <c r="H48">
        <f>IF(Summary!R49&gt;20,1,0)</f>
        <v>1</v>
      </c>
      <c r="I48">
        <f>IF(Summary!S49&gt;20,1,0)</f>
        <v>1</v>
      </c>
      <c r="J48">
        <f>IF(Summary!T49&gt;20,1,0)</f>
        <v>1</v>
      </c>
      <c r="K48">
        <f>IF(Summary!U49&gt;20,1,0)</f>
        <v>1</v>
      </c>
      <c r="L48">
        <f>IF(Summary!V49&gt;20,1,0)</f>
        <v>1</v>
      </c>
      <c r="M48">
        <f>IF(Summary!W49&gt;20,1,0)</f>
        <v>1</v>
      </c>
      <c r="N48">
        <f>IF(Summary!X49&gt;20,1,0)</f>
        <v>1</v>
      </c>
      <c r="O48">
        <f>IF(Summary!Y49&gt;20,1,0)</f>
        <v>1</v>
      </c>
      <c r="P48">
        <f>IF(Summary!Z49&gt;20,1,0)</f>
        <v>1</v>
      </c>
      <c r="Q48">
        <f>IF(Summary!AA49&gt;20,1,0)</f>
        <v>0</v>
      </c>
      <c r="R48">
        <f>IF(Summary!AB49&gt;20,1,0)</f>
        <v>1</v>
      </c>
      <c r="S48">
        <f>IF(Summary!AC49&gt;20,1,0)</f>
        <v>0</v>
      </c>
      <c r="T48">
        <f>IF(Summary!AD49&gt;20,1,0)</f>
        <v>1</v>
      </c>
      <c r="U48">
        <f>IF(Summary!AE49&gt;20,1,0)</f>
        <v>1</v>
      </c>
      <c r="V48">
        <f>IF(Summary!AF49&gt;20,1,0)</f>
        <v>1</v>
      </c>
      <c r="W48">
        <f>IF(Summary!AG49&gt;20,1,0)</f>
        <v>1</v>
      </c>
      <c r="X48">
        <f>IF(Summary!AH49&gt;20,1,0)</f>
        <v>1</v>
      </c>
      <c r="Y48">
        <f>IF(Summary!AI49&gt;20,1,0)</f>
        <v>1</v>
      </c>
      <c r="Z48">
        <f>IF(Summary!AJ49&gt;20,1,0)</f>
        <v>1</v>
      </c>
      <c r="AA48">
        <f>IF(Summary!AK49&gt;20,1,0)</f>
        <v>1</v>
      </c>
      <c r="AB48">
        <f>IF(Summary!AL49&gt;20,1,0)</f>
        <v>1</v>
      </c>
      <c r="AC48">
        <f>IF(Summary!AM49&gt;20,1,0)</f>
        <v>1</v>
      </c>
      <c r="AD48">
        <f>IF(Summary!AN49&gt;20,1,0)</f>
        <v>1</v>
      </c>
      <c r="AE48">
        <f>IF(Summary!AO49&gt;20,1,0)</f>
        <v>1</v>
      </c>
      <c r="AF48">
        <f>IF(Summary!AP49&gt;20,1,0)</f>
        <v>1</v>
      </c>
      <c r="AG48">
        <f>IF(Summary!AQ49&gt;20,1,0)</f>
        <v>1</v>
      </c>
      <c r="AH48">
        <f>IF(Summary!AR49&gt;20,1,0)</f>
        <v>1</v>
      </c>
      <c r="AI48">
        <f>IF(Summary!AS49&gt;20,1,0)</f>
        <v>1</v>
      </c>
      <c r="AJ48">
        <f>IF(Summary!AT49&gt;20,1,0)</f>
        <v>1</v>
      </c>
      <c r="AK48">
        <f>IF(Summary!AU49&gt;20,1,0)</f>
        <v>1</v>
      </c>
      <c r="AL48">
        <f>IF(Summary!AV49&gt;20,1,0)</f>
        <v>1</v>
      </c>
      <c r="AM48">
        <f>IF(Summary!AW49&gt;20,1,0)</f>
        <v>1</v>
      </c>
      <c r="AO48">
        <v>47</v>
      </c>
      <c r="AP48">
        <f t="shared" si="2"/>
        <v>34</v>
      </c>
      <c r="AQ48">
        <f t="shared" si="3"/>
        <v>1610</v>
      </c>
      <c r="AS48">
        <f>B48*Summary!L49</f>
        <v>43</v>
      </c>
      <c r="AT48">
        <f>C48*Summary!M49</f>
        <v>0</v>
      </c>
      <c r="AU48">
        <f>D48*Summary!N49</f>
        <v>0</v>
      </c>
      <c r="AV48">
        <f>E48*Summary!O49</f>
        <v>60</v>
      </c>
      <c r="AW48">
        <f>F48*Summary!P49</f>
        <v>33</v>
      </c>
      <c r="AX48">
        <f>G48*Summary!Q49</f>
        <v>45</v>
      </c>
      <c r="AY48">
        <f>H48*Summary!R49</f>
        <v>47</v>
      </c>
      <c r="AZ48">
        <f>I48*Summary!S49</f>
        <v>27</v>
      </c>
      <c r="BA48">
        <f>J48*Summary!T49</f>
        <v>56</v>
      </c>
      <c r="BB48">
        <f>K48*Summary!U49</f>
        <v>51</v>
      </c>
      <c r="BC48">
        <f>L48*Summary!V49</f>
        <v>46</v>
      </c>
      <c r="BD48">
        <f>M48*Summary!W49</f>
        <v>50</v>
      </c>
      <c r="BE48">
        <f>N48*Summary!X49</f>
        <v>45</v>
      </c>
      <c r="BF48">
        <f>O48*Summary!Y49</f>
        <v>50</v>
      </c>
      <c r="BG48">
        <f>P48*Summary!Z49</f>
        <v>52</v>
      </c>
      <c r="BH48">
        <f>Q48*Summary!AA49</f>
        <v>0</v>
      </c>
      <c r="BI48">
        <f>R48*Summary!AB49</f>
        <v>50</v>
      </c>
      <c r="BJ48">
        <f>S48*Summary!AC49</f>
        <v>0</v>
      </c>
      <c r="BK48">
        <f>T48*Summary!AD49</f>
        <v>47</v>
      </c>
      <c r="BL48">
        <f>U48*Summary!AE49</f>
        <v>39</v>
      </c>
      <c r="BM48">
        <f>V48*Summary!AF49</f>
        <v>45</v>
      </c>
      <c r="BN48">
        <f>W48*Summary!AG49</f>
        <v>45</v>
      </c>
      <c r="BO48">
        <f>X48*Summary!AH49</f>
        <v>49</v>
      </c>
      <c r="BP48">
        <f>Y48*Summary!AI49</f>
        <v>48</v>
      </c>
      <c r="BQ48">
        <f>Z48*Summary!AJ49</f>
        <v>54</v>
      </c>
      <c r="BR48">
        <f>AA48*Summary!AK49</f>
        <v>49</v>
      </c>
      <c r="BS48">
        <f>AB48*Summary!AL49</f>
        <v>50</v>
      </c>
      <c r="BT48">
        <f>AC48*Summary!AM49</f>
        <v>45</v>
      </c>
      <c r="BU48">
        <f>AD48*Summary!AN49</f>
        <v>55</v>
      </c>
      <c r="BV48">
        <f>AE48*Summary!AO49</f>
        <v>51</v>
      </c>
      <c r="BW48">
        <f>AF48*Summary!AP49</f>
        <v>44</v>
      </c>
      <c r="BX48">
        <f>AG48*Summary!AQ49</f>
        <v>48</v>
      </c>
      <c r="BY48">
        <f>AH48*Summary!AR49</f>
        <v>49</v>
      </c>
      <c r="BZ48">
        <f>AI48*Summary!AS49</f>
        <v>51</v>
      </c>
      <c r="CA48">
        <f>AJ48*Summary!AT49</f>
        <v>55</v>
      </c>
      <c r="CB48">
        <f>AK48*Summary!AU49</f>
        <v>38</v>
      </c>
      <c r="CC48">
        <f>AL48*Summary!AV49</f>
        <v>45</v>
      </c>
      <c r="CD48">
        <f>AM48*Summary!AW49</f>
        <v>48</v>
      </c>
    </row>
    <row r="49" spans="1:82" x14ac:dyDescent="0.25">
      <c r="A49">
        <v>48</v>
      </c>
      <c r="B49">
        <f>IF(Summary!L50&gt;20,1,0)</f>
        <v>1</v>
      </c>
      <c r="C49">
        <f>IF(Summary!M50&gt;20,1,0)</f>
        <v>0</v>
      </c>
      <c r="D49">
        <f>IF(Summary!N50&gt;20,1,0)</f>
        <v>0</v>
      </c>
      <c r="E49">
        <f>IF(Summary!O50&gt;20,1,0)</f>
        <v>1</v>
      </c>
      <c r="F49">
        <f>IF(Summary!P50&gt;20,1,0)</f>
        <v>0</v>
      </c>
      <c r="G49">
        <f>IF(Summary!Q50&gt;20,1,0)</f>
        <v>1</v>
      </c>
      <c r="H49">
        <f>IF(Summary!R50&gt;20,1,0)</f>
        <v>1</v>
      </c>
      <c r="I49">
        <f>IF(Summary!S50&gt;20,1,0)</f>
        <v>0</v>
      </c>
      <c r="J49">
        <f>IF(Summary!T50&gt;20,1,0)</f>
        <v>1</v>
      </c>
      <c r="K49">
        <f>IF(Summary!U50&gt;20,1,0)</f>
        <v>1</v>
      </c>
      <c r="L49">
        <f>IF(Summary!V50&gt;20,1,0)</f>
        <v>1</v>
      </c>
      <c r="M49">
        <f>IF(Summary!W50&gt;20,1,0)</f>
        <v>1</v>
      </c>
      <c r="N49">
        <f>IF(Summary!X50&gt;20,1,0)</f>
        <v>1</v>
      </c>
      <c r="O49">
        <f>IF(Summary!Y50&gt;20,1,0)</f>
        <v>1</v>
      </c>
      <c r="P49">
        <f>IF(Summary!Z50&gt;20,1,0)</f>
        <v>1</v>
      </c>
      <c r="Q49">
        <f>IF(Summary!AA50&gt;20,1,0)</f>
        <v>0</v>
      </c>
      <c r="R49">
        <f>IF(Summary!AB50&gt;20,1,0)</f>
        <v>1</v>
      </c>
      <c r="S49">
        <f>IF(Summary!AC50&gt;20,1,0)</f>
        <v>0</v>
      </c>
      <c r="T49">
        <f>IF(Summary!AD50&gt;20,1,0)</f>
        <v>1</v>
      </c>
      <c r="U49">
        <f>IF(Summary!AE50&gt;20,1,0)</f>
        <v>1</v>
      </c>
      <c r="V49">
        <f>IF(Summary!AF50&gt;20,1,0)</f>
        <v>1</v>
      </c>
      <c r="W49">
        <f>IF(Summary!AG50&gt;20,1,0)</f>
        <v>1</v>
      </c>
      <c r="X49">
        <f>IF(Summary!AH50&gt;20,1,0)</f>
        <v>1</v>
      </c>
      <c r="Y49">
        <f>IF(Summary!AI50&gt;20,1,0)</f>
        <v>1</v>
      </c>
      <c r="Z49">
        <f>IF(Summary!AJ50&gt;20,1,0)</f>
        <v>1</v>
      </c>
      <c r="AA49">
        <f>IF(Summary!AK50&gt;20,1,0)</f>
        <v>1</v>
      </c>
      <c r="AB49">
        <f>IF(Summary!AL50&gt;20,1,0)</f>
        <v>1</v>
      </c>
      <c r="AC49">
        <f>IF(Summary!AM50&gt;20,1,0)</f>
        <v>1</v>
      </c>
      <c r="AD49">
        <f>IF(Summary!AN50&gt;20,1,0)</f>
        <v>1</v>
      </c>
      <c r="AE49">
        <f>IF(Summary!AO50&gt;20,1,0)</f>
        <v>1</v>
      </c>
      <c r="AF49">
        <f>IF(Summary!AP50&gt;20,1,0)</f>
        <v>1</v>
      </c>
      <c r="AG49">
        <f>IF(Summary!AQ50&gt;20,1,0)</f>
        <v>1</v>
      </c>
      <c r="AH49">
        <f>IF(Summary!AR50&gt;20,1,0)</f>
        <v>1</v>
      </c>
      <c r="AI49">
        <f>IF(Summary!AS50&gt;20,1,0)</f>
        <v>1</v>
      </c>
      <c r="AJ49">
        <f>IF(Summary!AT50&gt;20,1,0)</f>
        <v>1</v>
      </c>
      <c r="AK49">
        <f>IF(Summary!AU50&gt;20,1,0)</f>
        <v>1</v>
      </c>
      <c r="AL49">
        <f>IF(Summary!AV50&gt;20,1,0)</f>
        <v>1</v>
      </c>
      <c r="AM49">
        <f>IF(Summary!AW50&gt;20,1,0)</f>
        <v>1</v>
      </c>
      <c r="AO49">
        <v>48</v>
      </c>
      <c r="AP49">
        <f t="shared" si="2"/>
        <v>32</v>
      </c>
      <c r="AQ49">
        <f t="shared" si="3"/>
        <v>1520</v>
      </c>
      <c r="AS49">
        <f>B49*Summary!L50</f>
        <v>52</v>
      </c>
      <c r="AT49">
        <f>C49*Summary!M50</f>
        <v>0</v>
      </c>
      <c r="AU49">
        <f>D49*Summary!N50</f>
        <v>0</v>
      </c>
      <c r="AV49">
        <f>E49*Summary!O50</f>
        <v>50</v>
      </c>
      <c r="AW49">
        <f>F49*Summary!P50</f>
        <v>0</v>
      </c>
      <c r="AX49">
        <f>G49*Summary!Q50</f>
        <v>37</v>
      </c>
      <c r="AY49">
        <f>H49*Summary!R50</f>
        <v>54</v>
      </c>
      <c r="AZ49">
        <f>I49*Summary!S50</f>
        <v>0</v>
      </c>
      <c r="BA49">
        <f>J49*Summary!T50</f>
        <v>53</v>
      </c>
      <c r="BB49">
        <f>K49*Summary!U50</f>
        <v>47</v>
      </c>
      <c r="BC49">
        <f>L49*Summary!V50</f>
        <v>41</v>
      </c>
      <c r="BD49">
        <f>M49*Summary!W50</f>
        <v>45</v>
      </c>
      <c r="BE49">
        <f>N49*Summary!X50</f>
        <v>46</v>
      </c>
      <c r="BF49">
        <f>O49*Summary!Y50</f>
        <v>46</v>
      </c>
      <c r="BG49">
        <f>P49*Summary!Z50</f>
        <v>51</v>
      </c>
      <c r="BH49">
        <f>Q49*Summary!AA50</f>
        <v>0</v>
      </c>
      <c r="BI49">
        <f>R49*Summary!AB50</f>
        <v>50</v>
      </c>
      <c r="BJ49">
        <f>S49*Summary!AC50</f>
        <v>0</v>
      </c>
      <c r="BK49">
        <f>T49*Summary!AD50</f>
        <v>51</v>
      </c>
      <c r="BL49">
        <f>U49*Summary!AE50</f>
        <v>40</v>
      </c>
      <c r="BM49">
        <f>V49*Summary!AF50</f>
        <v>44</v>
      </c>
      <c r="BN49">
        <f>W49*Summary!AG50</f>
        <v>46</v>
      </c>
      <c r="BO49">
        <f>X49*Summary!AH50</f>
        <v>49</v>
      </c>
      <c r="BP49">
        <f>Y49*Summary!AI50</f>
        <v>42</v>
      </c>
      <c r="BQ49">
        <f>Z49*Summary!AJ50</f>
        <v>53</v>
      </c>
      <c r="BR49">
        <f>AA49*Summary!AK50</f>
        <v>47</v>
      </c>
      <c r="BS49">
        <f>AB49*Summary!AL50</f>
        <v>52</v>
      </c>
      <c r="BT49">
        <f>AC49*Summary!AM50</f>
        <v>46</v>
      </c>
      <c r="BU49">
        <f>AD49*Summary!AN50</f>
        <v>49</v>
      </c>
      <c r="BV49">
        <f>AE49*Summary!AO50</f>
        <v>52</v>
      </c>
      <c r="BW49">
        <f>AF49*Summary!AP50</f>
        <v>46</v>
      </c>
      <c r="BX49">
        <f>AG49*Summary!AQ50</f>
        <v>50</v>
      </c>
      <c r="BY49">
        <f>AH49*Summary!AR50</f>
        <v>54</v>
      </c>
      <c r="BZ49">
        <f>AI49*Summary!AS50</f>
        <v>51</v>
      </c>
      <c r="CA49">
        <f>AJ49*Summary!AT50</f>
        <v>50</v>
      </c>
      <c r="CB49">
        <f>AK49*Summary!AU50</f>
        <v>36</v>
      </c>
      <c r="CC49">
        <f>AL49*Summary!AV50</f>
        <v>44</v>
      </c>
      <c r="CD49">
        <f>AM49*Summary!AW50</f>
        <v>46</v>
      </c>
    </row>
    <row r="50" spans="1:82" x14ac:dyDescent="0.25">
      <c r="A50">
        <v>49</v>
      </c>
      <c r="B50">
        <f>IF(Summary!L51&gt;20,1,0)</f>
        <v>1</v>
      </c>
      <c r="C50">
        <f>IF(Summary!M51&gt;20,1,0)</f>
        <v>1</v>
      </c>
      <c r="D50">
        <f>IF(Summary!N51&gt;20,1,0)</f>
        <v>0</v>
      </c>
      <c r="E50">
        <f>IF(Summary!O51&gt;20,1,0)</f>
        <v>1</v>
      </c>
      <c r="F50">
        <f>IF(Summary!P51&gt;20,1,0)</f>
        <v>1</v>
      </c>
      <c r="G50">
        <f>IF(Summary!Q51&gt;20,1,0)</f>
        <v>1</v>
      </c>
      <c r="H50">
        <f>IF(Summary!R51&gt;20,1,0)</f>
        <v>1</v>
      </c>
      <c r="I50">
        <f>IF(Summary!S51&gt;20,1,0)</f>
        <v>1</v>
      </c>
      <c r="J50">
        <f>IF(Summary!T51&gt;20,1,0)</f>
        <v>1</v>
      </c>
      <c r="K50">
        <f>IF(Summary!U51&gt;20,1,0)</f>
        <v>1</v>
      </c>
      <c r="L50">
        <f>IF(Summary!V51&gt;20,1,0)</f>
        <v>1</v>
      </c>
      <c r="M50">
        <f>IF(Summary!W51&gt;20,1,0)</f>
        <v>1</v>
      </c>
      <c r="N50">
        <f>IF(Summary!X51&gt;20,1,0)</f>
        <v>1</v>
      </c>
      <c r="O50">
        <f>IF(Summary!Y51&gt;20,1,0)</f>
        <v>1</v>
      </c>
      <c r="P50">
        <f>IF(Summary!Z51&gt;20,1,0)</f>
        <v>1</v>
      </c>
      <c r="Q50">
        <f>IF(Summary!AA51&gt;20,1,0)</f>
        <v>0</v>
      </c>
      <c r="R50">
        <f>IF(Summary!AB51&gt;20,1,0)</f>
        <v>1</v>
      </c>
      <c r="S50">
        <f>IF(Summary!AC51&gt;20,1,0)</f>
        <v>1</v>
      </c>
      <c r="T50">
        <f>IF(Summary!AD51&gt;20,1,0)</f>
        <v>1</v>
      </c>
      <c r="U50">
        <f>IF(Summary!AE51&gt;20,1,0)</f>
        <v>1</v>
      </c>
      <c r="V50">
        <f>IF(Summary!AF51&gt;20,1,0)</f>
        <v>1</v>
      </c>
      <c r="W50">
        <f>IF(Summary!AG51&gt;20,1,0)</f>
        <v>1</v>
      </c>
      <c r="X50">
        <f>IF(Summary!AH51&gt;20,1,0)</f>
        <v>1</v>
      </c>
      <c r="Y50">
        <f>IF(Summary!AI51&gt;20,1,0)</f>
        <v>1</v>
      </c>
      <c r="Z50">
        <f>IF(Summary!AJ51&gt;20,1,0)</f>
        <v>1</v>
      </c>
      <c r="AA50">
        <f>IF(Summary!AK51&gt;20,1,0)</f>
        <v>1</v>
      </c>
      <c r="AB50">
        <f>IF(Summary!AL51&gt;20,1,0)</f>
        <v>1</v>
      </c>
      <c r="AC50">
        <f>IF(Summary!AM51&gt;20,1,0)</f>
        <v>1</v>
      </c>
      <c r="AD50">
        <f>IF(Summary!AN51&gt;20,1,0)</f>
        <v>1</v>
      </c>
      <c r="AE50">
        <f>IF(Summary!AO51&gt;20,1,0)</f>
        <v>1</v>
      </c>
      <c r="AF50">
        <f>IF(Summary!AP51&gt;20,1,0)</f>
        <v>1</v>
      </c>
      <c r="AG50">
        <f>IF(Summary!AQ51&gt;20,1,0)</f>
        <v>0</v>
      </c>
      <c r="AH50">
        <f>IF(Summary!AR51&gt;20,1,0)</f>
        <v>1</v>
      </c>
      <c r="AI50">
        <f>IF(Summary!AS51&gt;20,1,0)</f>
        <v>1</v>
      </c>
      <c r="AJ50">
        <f>IF(Summary!AT51&gt;20,1,0)</f>
        <v>1</v>
      </c>
      <c r="AK50">
        <f>IF(Summary!AU51&gt;20,1,0)</f>
        <v>1</v>
      </c>
      <c r="AL50">
        <f>IF(Summary!AV51&gt;20,1,0)</f>
        <v>1</v>
      </c>
      <c r="AM50">
        <f>IF(Summary!AW51&gt;20,1,0)</f>
        <v>1</v>
      </c>
      <c r="AO50">
        <v>49</v>
      </c>
      <c r="AP50">
        <f t="shared" si="2"/>
        <v>35</v>
      </c>
      <c r="AQ50">
        <f t="shared" si="3"/>
        <v>1562</v>
      </c>
      <c r="AS50">
        <f>B50*Summary!L51</f>
        <v>51</v>
      </c>
      <c r="AT50">
        <f>C50*Summary!M51</f>
        <v>40</v>
      </c>
      <c r="AU50">
        <f>D50*Summary!N51</f>
        <v>0</v>
      </c>
      <c r="AV50">
        <f>E50*Summary!O51</f>
        <v>45</v>
      </c>
      <c r="AW50">
        <f>F50*Summary!P51</f>
        <v>31</v>
      </c>
      <c r="AX50">
        <f>G50*Summary!Q51</f>
        <v>34</v>
      </c>
      <c r="AY50">
        <f>H50*Summary!R51</f>
        <v>50</v>
      </c>
      <c r="AZ50">
        <f>I50*Summary!S51</f>
        <v>25</v>
      </c>
      <c r="BA50">
        <f>J50*Summary!T51</f>
        <v>51</v>
      </c>
      <c r="BB50">
        <f>K50*Summary!U51</f>
        <v>44</v>
      </c>
      <c r="BC50">
        <f>L50*Summary!V51</f>
        <v>47</v>
      </c>
      <c r="BD50">
        <f>M50*Summary!W51</f>
        <v>48</v>
      </c>
      <c r="BE50">
        <f>N50*Summary!X51</f>
        <v>41</v>
      </c>
      <c r="BF50">
        <f>O50*Summary!Y51</f>
        <v>48</v>
      </c>
      <c r="BG50">
        <f>P50*Summary!Z51</f>
        <v>54</v>
      </c>
      <c r="BH50">
        <f>Q50*Summary!AA51</f>
        <v>0</v>
      </c>
      <c r="BI50">
        <f>R50*Summary!AB51</f>
        <v>45</v>
      </c>
      <c r="BJ50">
        <f>S50*Summary!AC51</f>
        <v>24</v>
      </c>
      <c r="BK50">
        <f>T50*Summary!AD51</f>
        <v>54</v>
      </c>
      <c r="BL50">
        <f>U50*Summary!AE51</f>
        <v>42</v>
      </c>
      <c r="BM50">
        <f>V50*Summary!AF51</f>
        <v>51</v>
      </c>
      <c r="BN50">
        <f>W50*Summary!AG51</f>
        <v>32</v>
      </c>
      <c r="BO50">
        <f>X50*Summary!AH51</f>
        <v>45</v>
      </c>
      <c r="BP50">
        <f>Y50*Summary!AI51</f>
        <v>44</v>
      </c>
      <c r="BQ50">
        <f>Z50*Summary!AJ51</f>
        <v>50</v>
      </c>
      <c r="BR50">
        <f>AA50*Summary!AK51</f>
        <v>46</v>
      </c>
      <c r="BS50">
        <f>AB50*Summary!AL51</f>
        <v>51</v>
      </c>
      <c r="BT50">
        <f>AC50*Summary!AM51</f>
        <v>42</v>
      </c>
      <c r="BU50">
        <f>AD50*Summary!AN51</f>
        <v>46</v>
      </c>
      <c r="BV50">
        <f>AE50*Summary!AO51</f>
        <v>54</v>
      </c>
      <c r="BW50">
        <f>AF50*Summary!AP51</f>
        <v>42</v>
      </c>
      <c r="BX50">
        <f>AG50*Summary!AQ51</f>
        <v>0</v>
      </c>
      <c r="BY50">
        <f>AH50*Summary!AR51</f>
        <v>53</v>
      </c>
      <c r="BZ50">
        <f>AI50*Summary!AS51</f>
        <v>51</v>
      </c>
      <c r="CA50">
        <f>AJ50*Summary!AT51</f>
        <v>51</v>
      </c>
      <c r="CB50">
        <f>AK50*Summary!AU51</f>
        <v>47</v>
      </c>
      <c r="CC50">
        <f>AL50*Summary!AV51</f>
        <v>36</v>
      </c>
      <c r="CD50">
        <f>AM50*Summary!AW51</f>
        <v>47</v>
      </c>
    </row>
    <row r="51" spans="1:82" x14ac:dyDescent="0.25">
      <c r="A51">
        <v>50</v>
      </c>
      <c r="B51">
        <f>IF(Summary!L52&gt;20,1,0)</f>
        <v>1</v>
      </c>
      <c r="C51">
        <f>IF(Summary!M52&gt;20,1,0)</f>
        <v>0</v>
      </c>
      <c r="D51">
        <f>IF(Summary!N52&gt;20,1,0)</f>
        <v>0</v>
      </c>
      <c r="E51">
        <f>IF(Summary!O52&gt;20,1,0)</f>
        <v>1</v>
      </c>
      <c r="F51">
        <f>IF(Summary!P52&gt;20,1,0)</f>
        <v>1</v>
      </c>
      <c r="G51">
        <f>IF(Summary!Q52&gt;20,1,0)</f>
        <v>1</v>
      </c>
      <c r="H51">
        <f>IF(Summary!R52&gt;20,1,0)</f>
        <v>1</v>
      </c>
      <c r="I51">
        <f>IF(Summary!S52&gt;20,1,0)</f>
        <v>0</v>
      </c>
      <c r="J51">
        <f>IF(Summary!T52&gt;20,1,0)</f>
        <v>1</v>
      </c>
      <c r="K51">
        <f>IF(Summary!U52&gt;20,1,0)</f>
        <v>1</v>
      </c>
      <c r="L51">
        <f>IF(Summary!V52&gt;20,1,0)</f>
        <v>1</v>
      </c>
      <c r="M51">
        <f>IF(Summary!W52&gt;20,1,0)</f>
        <v>1</v>
      </c>
      <c r="N51">
        <f>IF(Summary!X52&gt;20,1,0)</f>
        <v>1</v>
      </c>
      <c r="O51">
        <f>IF(Summary!Y52&gt;20,1,0)</f>
        <v>1</v>
      </c>
      <c r="P51">
        <f>IF(Summary!Z52&gt;20,1,0)</f>
        <v>1</v>
      </c>
      <c r="Q51">
        <f>IF(Summary!AA52&gt;20,1,0)</f>
        <v>0</v>
      </c>
      <c r="R51">
        <f>IF(Summary!AB52&gt;20,1,0)</f>
        <v>1</v>
      </c>
      <c r="S51">
        <f>IF(Summary!AC52&gt;20,1,0)</f>
        <v>1</v>
      </c>
      <c r="T51">
        <f>IF(Summary!AD52&gt;20,1,0)</f>
        <v>1</v>
      </c>
      <c r="U51">
        <f>IF(Summary!AE52&gt;20,1,0)</f>
        <v>1</v>
      </c>
      <c r="V51">
        <f>IF(Summary!AF52&gt;20,1,0)</f>
        <v>1</v>
      </c>
      <c r="W51">
        <f>IF(Summary!AG52&gt;20,1,0)</f>
        <v>1</v>
      </c>
      <c r="X51">
        <f>IF(Summary!AH52&gt;20,1,0)</f>
        <v>1</v>
      </c>
      <c r="Y51">
        <f>IF(Summary!AI52&gt;20,1,0)</f>
        <v>1</v>
      </c>
      <c r="Z51">
        <f>IF(Summary!AJ52&gt;20,1,0)</f>
        <v>1</v>
      </c>
      <c r="AA51">
        <f>IF(Summary!AK52&gt;20,1,0)</f>
        <v>1</v>
      </c>
      <c r="AB51">
        <f>IF(Summary!AL52&gt;20,1,0)</f>
        <v>1</v>
      </c>
      <c r="AC51">
        <f>IF(Summary!AM52&gt;20,1,0)</f>
        <v>1</v>
      </c>
      <c r="AD51">
        <f>IF(Summary!AN52&gt;20,1,0)</f>
        <v>1</v>
      </c>
      <c r="AE51">
        <f>IF(Summary!AO52&gt;20,1,0)</f>
        <v>1</v>
      </c>
      <c r="AF51">
        <f>IF(Summary!AP52&gt;20,1,0)</f>
        <v>1</v>
      </c>
      <c r="AG51">
        <f>IF(Summary!AQ52&gt;20,1,0)</f>
        <v>0</v>
      </c>
      <c r="AH51">
        <f>IF(Summary!AR52&gt;20,1,0)</f>
        <v>1</v>
      </c>
      <c r="AI51">
        <f>IF(Summary!AS52&gt;20,1,0)</f>
        <v>1</v>
      </c>
      <c r="AJ51">
        <f>IF(Summary!AT52&gt;20,1,0)</f>
        <v>1</v>
      </c>
      <c r="AK51">
        <f>IF(Summary!AU52&gt;20,1,0)</f>
        <v>1</v>
      </c>
      <c r="AL51">
        <f>IF(Summary!AV52&gt;20,1,0)</f>
        <v>1</v>
      </c>
      <c r="AM51">
        <f>IF(Summary!AW52&gt;20,1,0)</f>
        <v>1</v>
      </c>
      <c r="AO51">
        <v>50</v>
      </c>
      <c r="AP51">
        <f t="shared" si="2"/>
        <v>33</v>
      </c>
      <c r="AQ51">
        <f t="shared" si="3"/>
        <v>1481</v>
      </c>
      <c r="AS51">
        <f>B51*Summary!L52</f>
        <v>52</v>
      </c>
      <c r="AT51">
        <f>C51*Summary!M52</f>
        <v>0</v>
      </c>
      <c r="AU51">
        <f>D51*Summary!N52</f>
        <v>0</v>
      </c>
      <c r="AV51">
        <f>E51*Summary!O52</f>
        <v>50</v>
      </c>
      <c r="AW51">
        <f>F51*Summary!P52</f>
        <v>35</v>
      </c>
      <c r="AX51">
        <f>G51*Summary!Q52</f>
        <v>44</v>
      </c>
      <c r="AY51">
        <f>H51*Summary!R52</f>
        <v>47</v>
      </c>
      <c r="AZ51">
        <f>I51*Summary!S52</f>
        <v>0</v>
      </c>
      <c r="BA51">
        <f>J51*Summary!T52</f>
        <v>51</v>
      </c>
      <c r="BB51">
        <f>K51*Summary!U52</f>
        <v>43</v>
      </c>
      <c r="BC51">
        <f>L51*Summary!V52</f>
        <v>39</v>
      </c>
      <c r="BD51">
        <f>M51*Summary!W52</f>
        <v>43</v>
      </c>
      <c r="BE51">
        <f>N51*Summary!X52</f>
        <v>44</v>
      </c>
      <c r="BF51">
        <f>O51*Summary!Y52</f>
        <v>53</v>
      </c>
      <c r="BG51">
        <f>P51*Summary!Z52</f>
        <v>47</v>
      </c>
      <c r="BH51">
        <f>Q51*Summary!AA52</f>
        <v>0</v>
      </c>
      <c r="BI51">
        <f>R51*Summary!AB52</f>
        <v>43</v>
      </c>
      <c r="BJ51">
        <f>S51*Summary!AC52</f>
        <v>47</v>
      </c>
      <c r="BK51">
        <f>T51*Summary!AD52</f>
        <v>44</v>
      </c>
      <c r="BL51">
        <f>U51*Summary!AE52</f>
        <v>43</v>
      </c>
      <c r="BM51">
        <f>V51*Summary!AF52</f>
        <v>48</v>
      </c>
      <c r="BN51">
        <f>W51*Summary!AG52</f>
        <v>47</v>
      </c>
      <c r="BO51">
        <f>X51*Summary!AH52</f>
        <v>48</v>
      </c>
      <c r="BP51">
        <f>Y51*Summary!AI52</f>
        <v>48</v>
      </c>
      <c r="BQ51">
        <f>Z51*Summary!AJ52</f>
        <v>46</v>
      </c>
      <c r="BR51">
        <f>AA51*Summary!AK52</f>
        <v>37</v>
      </c>
      <c r="BS51">
        <f>AB51*Summary!AL52</f>
        <v>48</v>
      </c>
      <c r="BT51">
        <f>AC51*Summary!AM52</f>
        <v>41</v>
      </c>
      <c r="BU51">
        <f>AD51*Summary!AN52</f>
        <v>47</v>
      </c>
      <c r="BV51">
        <f>AE51*Summary!AO52</f>
        <v>47</v>
      </c>
      <c r="BW51">
        <f>AF51*Summary!AP52</f>
        <v>42</v>
      </c>
      <c r="BX51">
        <f>AG51*Summary!AQ52</f>
        <v>0</v>
      </c>
      <c r="BY51">
        <f>AH51*Summary!AR52</f>
        <v>44</v>
      </c>
      <c r="BZ51">
        <f>AI51*Summary!AS52</f>
        <v>45</v>
      </c>
      <c r="CA51">
        <f>AJ51*Summary!AT52</f>
        <v>47</v>
      </c>
      <c r="CB51">
        <f>AK51*Summary!AU52</f>
        <v>26</v>
      </c>
      <c r="CC51">
        <f>AL51*Summary!AV52</f>
        <v>42</v>
      </c>
      <c r="CD51">
        <f>AM51*Summary!AW52</f>
        <v>53</v>
      </c>
    </row>
    <row r="52" spans="1:82" x14ac:dyDescent="0.25">
      <c r="A52">
        <v>51</v>
      </c>
      <c r="B52">
        <f>IF(Summary!L53&gt;20,1,0)</f>
        <v>1</v>
      </c>
      <c r="C52">
        <f>IF(Summary!M53&gt;20,1,0)</f>
        <v>1</v>
      </c>
      <c r="D52">
        <f>IF(Summary!N53&gt;20,1,0)</f>
        <v>0</v>
      </c>
      <c r="E52">
        <f>IF(Summary!O53&gt;20,1,0)</f>
        <v>1</v>
      </c>
      <c r="F52">
        <f>IF(Summary!P53&gt;20,1,0)</f>
        <v>1</v>
      </c>
      <c r="G52">
        <f>IF(Summary!Q53&gt;20,1,0)</f>
        <v>1</v>
      </c>
      <c r="H52">
        <f>IF(Summary!R53&gt;20,1,0)</f>
        <v>1</v>
      </c>
      <c r="I52">
        <f>IF(Summary!S53&gt;20,1,0)</f>
        <v>0</v>
      </c>
      <c r="J52">
        <f>IF(Summary!T53&gt;20,1,0)</f>
        <v>1</v>
      </c>
      <c r="K52">
        <f>IF(Summary!U53&gt;20,1,0)</f>
        <v>1</v>
      </c>
      <c r="L52">
        <f>IF(Summary!V53&gt;20,1,0)</f>
        <v>1</v>
      </c>
      <c r="M52">
        <f>IF(Summary!W53&gt;20,1,0)</f>
        <v>1</v>
      </c>
      <c r="N52">
        <f>IF(Summary!X53&gt;20,1,0)</f>
        <v>1</v>
      </c>
      <c r="O52">
        <f>IF(Summary!Y53&gt;20,1,0)</f>
        <v>1</v>
      </c>
      <c r="P52">
        <f>IF(Summary!Z53&gt;20,1,0)</f>
        <v>1</v>
      </c>
      <c r="Q52">
        <f>IF(Summary!AA53&gt;20,1,0)</f>
        <v>0</v>
      </c>
      <c r="R52">
        <f>IF(Summary!AB53&gt;20,1,0)</f>
        <v>1</v>
      </c>
      <c r="S52">
        <f>IF(Summary!AC53&gt;20,1,0)</f>
        <v>1</v>
      </c>
      <c r="T52">
        <f>IF(Summary!AD53&gt;20,1,0)</f>
        <v>1</v>
      </c>
      <c r="U52">
        <f>IF(Summary!AE53&gt;20,1,0)</f>
        <v>1</v>
      </c>
      <c r="V52">
        <f>IF(Summary!AF53&gt;20,1,0)</f>
        <v>1</v>
      </c>
      <c r="W52">
        <f>IF(Summary!AG53&gt;20,1,0)</f>
        <v>1</v>
      </c>
      <c r="X52">
        <f>IF(Summary!AH53&gt;20,1,0)</f>
        <v>1</v>
      </c>
      <c r="Y52">
        <f>IF(Summary!AI53&gt;20,1,0)</f>
        <v>1</v>
      </c>
      <c r="Z52">
        <f>IF(Summary!AJ53&gt;20,1,0)</f>
        <v>1</v>
      </c>
      <c r="AA52">
        <f>IF(Summary!AK53&gt;20,1,0)</f>
        <v>1</v>
      </c>
      <c r="AB52">
        <f>IF(Summary!AL53&gt;20,1,0)</f>
        <v>1</v>
      </c>
      <c r="AC52">
        <f>IF(Summary!AM53&gt;20,1,0)</f>
        <v>1</v>
      </c>
      <c r="AD52">
        <f>IF(Summary!AN53&gt;20,1,0)</f>
        <v>1</v>
      </c>
      <c r="AE52">
        <f>IF(Summary!AO53&gt;20,1,0)</f>
        <v>1</v>
      </c>
      <c r="AF52">
        <f>IF(Summary!AP53&gt;20,1,0)</f>
        <v>1</v>
      </c>
      <c r="AG52">
        <f>IF(Summary!AQ53&gt;20,1,0)</f>
        <v>0</v>
      </c>
      <c r="AH52">
        <f>IF(Summary!AR53&gt;20,1,0)</f>
        <v>1</v>
      </c>
      <c r="AI52">
        <f>IF(Summary!AS53&gt;20,1,0)</f>
        <v>1</v>
      </c>
      <c r="AJ52">
        <f>IF(Summary!AT53&gt;20,1,0)</f>
        <v>1</v>
      </c>
      <c r="AK52">
        <f>IF(Summary!AU53&gt;20,1,0)</f>
        <v>1</v>
      </c>
      <c r="AL52">
        <f>IF(Summary!AV53&gt;20,1,0)</f>
        <v>1</v>
      </c>
      <c r="AM52">
        <f>IF(Summary!AW53&gt;20,1,0)</f>
        <v>1</v>
      </c>
      <c r="AO52">
        <v>51</v>
      </c>
      <c r="AP52">
        <f t="shared" si="2"/>
        <v>34</v>
      </c>
      <c r="AQ52">
        <f t="shared" si="3"/>
        <v>1545</v>
      </c>
      <c r="AS52">
        <f>B52*Summary!L53</f>
        <v>57</v>
      </c>
      <c r="AT52">
        <f>C52*Summary!M53</f>
        <v>26</v>
      </c>
      <c r="AU52">
        <f>D52*Summary!N53</f>
        <v>0</v>
      </c>
      <c r="AV52">
        <f>E52*Summary!O53</f>
        <v>53</v>
      </c>
      <c r="AW52">
        <f>F52*Summary!P53</f>
        <v>26</v>
      </c>
      <c r="AX52">
        <f>G52*Summary!Q53</f>
        <v>40</v>
      </c>
      <c r="AY52">
        <f>H52*Summary!R53</f>
        <v>50</v>
      </c>
      <c r="AZ52">
        <f>I52*Summary!S53</f>
        <v>0</v>
      </c>
      <c r="BA52">
        <f>J52*Summary!T53</f>
        <v>55</v>
      </c>
      <c r="BB52">
        <f>K52*Summary!U53</f>
        <v>47</v>
      </c>
      <c r="BC52">
        <f>L52*Summary!V53</f>
        <v>39</v>
      </c>
      <c r="BD52">
        <f>M52*Summary!W53</f>
        <v>46</v>
      </c>
      <c r="BE52">
        <f>N52*Summary!X53</f>
        <v>44</v>
      </c>
      <c r="BF52">
        <f>O52*Summary!Y53</f>
        <v>49</v>
      </c>
      <c r="BG52">
        <f>P52*Summary!Z53</f>
        <v>50</v>
      </c>
      <c r="BH52">
        <f>Q52*Summary!AA53</f>
        <v>0</v>
      </c>
      <c r="BI52">
        <f>R52*Summary!AB53</f>
        <v>50</v>
      </c>
      <c r="BJ52">
        <f>S52*Summary!AC53</f>
        <v>47</v>
      </c>
      <c r="BK52">
        <f>T52*Summary!AD53</f>
        <v>47</v>
      </c>
      <c r="BL52">
        <f>U52*Summary!AE53</f>
        <v>39</v>
      </c>
      <c r="BM52">
        <f>V52*Summary!AF53</f>
        <v>42</v>
      </c>
      <c r="BN52">
        <f>W52*Summary!AG53</f>
        <v>41</v>
      </c>
      <c r="BO52">
        <f>X52*Summary!AH53</f>
        <v>50</v>
      </c>
      <c r="BP52">
        <f>Y52*Summary!AI53</f>
        <v>44</v>
      </c>
      <c r="BQ52">
        <f>Z52*Summary!AJ53</f>
        <v>50</v>
      </c>
      <c r="BR52">
        <f>AA52*Summary!AK53</f>
        <v>52</v>
      </c>
      <c r="BS52">
        <f>AB52*Summary!AL53</f>
        <v>52</v>
      </c>
      <c r="BT52">
        <f>AC52*Summary!AM53</f>
        <v>47</v>
      </c>
      <c r="BU52">
        <f>AD52*Summary!AN53</f>
        <v>48</v>
      </c>
      <c r="BV52">
        <f>AE52*Summary!AO53</f>
        <v>44</v>
      </c>
      <c r="BW52">
        <f>AF52*Summary!AP53</f>
        <v>41</v>
      </c>
      <c r="BX52">
        <f>AG52*Summary!AQ53</f>
        <v>0</v>
      </c>
      <c r="BY52">
        <f>AH52*Summary!AR53</f>
        <v>53</v>
      </c>
      <c r="BZ52">
        <f>AI52*Summary!AS53</f>
        <v>48</v>
      </c>
      <c r="CA52">
        <f>AJ52*Summary!AT53</f>
        <v>50</v>
      </c>
      <c r="CB52">
        <f>AK52*Summary!AU53</f>
        <v>26</v>
      </c>
      <c r="CC52">
        <f>AL52*Summary!AV53</f>
        <v>43</v>
      </c>
      <c r="CD52">
        <f>AM52*Summary!AW53</f>
        <v>49</v>
      </c>
    </row>
    <row r="53" spans="1:82" x14ac:dyDescent="0.25">
      <c r="A53">
        <v>52</v>
      </c>
      <c r="B53">
        <f>IF(Summary!L54&gt;20,1,0)</f>
        <v>1</v>
      </c>
      <c r="C53">
        <f>IF(Summary!M54&gt;20,1,0)</f>
        <v>0</v>
      </c>
      <c r="D53">
        <f>IF(Summary!N54&gt;20,1,0)</f>
        <v>0</v>
      </c>
      <c r="E53">
        <f>IF(Summary!O54&gt;20,1,0)</f>
        <v>1</v>
      </c>
      <c r="F53">
        <f>IF(Summary!P54&gt;20,1,0)</f>
        <v>1</v>
      </c>
      <c r="G53">
        <f>IF(Summary!Q54&gt;20,1,0)</f>
        <v>1</v>
      </c>
      <c r="H53">
        <f>IF(Summary!R54&gt;20,1,0)</f>
        <v>1</v>
      </c>
      <c r="I53">
        <f>IF(Summary!S54&gt;20,1,0)</f>
        <v>0</v>
      </c>
      <c r="J53">
        <f>IF(Summary!T54&gt;20,1,0)</f>
        <v>1</v>
      </c>
      <c r="K53">
        <f>IF(Summary!U54&gt;20,1,0)</f>
        <v>1</v>
      </c>
      <c r="L53">
        <f>IF(Summary!V54&gt;20,1,0)</f>
        <v>1</v>
      </c>
      <c r="M53">
        <f>IF(Summary!W54&gt;20,1,0)</f>
        <v>1</v>
      </c>
      <c r="N53">
        <f>IF(Summary!X54&gt;20,1,0)</f>
        <v>1</v>
      </c>
      <c r="O53">
        <f>IF(Summary!Y54&gt;20,1,0)</f>
        <v>1</v>
      </c>
      <c r="P53">
        <f>IF(Summary!Z54&gt;20,1,0)</f>
        <v>1</v>
      </c>
      <c r="Q53">
        <f>IF(Summary!AA54&gt;20,1,0)</f>
        <v>0</v>
      </c>
      <c r="R53">
        <f>IF(Summary!AB54&gt;20,1,0)</f>
        <v>1</v>
      </c>
      <c r="S53">
        <f>IF(Summary!AC54&gt;20,1,0)</f>
        <v>1</v>
      </c>
      <c r="T53">
        <f>IF(Summary!AD54&gt;20,1,0)</f>
        <v>1</v>
      </c>
      <c r="U53">
        <f>IF(Summary!AE54&gt;20,1,0)</f>
        <v>1</v>
      </c>
      <c r="V53">
        <f>IF(Summary!AF54&gt;20,1,0)</f>
        <v>1</v>
      </c>
      <c r="W53">
        <f>IF(Summary!AG54&gt;20,1,0)</f>
        <v>1</v>
      </c>
      <c r="X53">
        <f>IF(Summary!AH54&gt;20,1,0)</f>
        <v>1</v>
      </c>
      <c r="Y53">
        <f>IF(Summary!AI54&gt;20,1,0)</f>
        <v>1</v>
      </c>
      <c r="Z53">
        <f>IF(Summary!AJ54&gt;20,1,0)</f>
        <v>1</v>
      </c>
      <c r="AA53">
        <f>IF(Summary!AK54&gt;20,1,0)</f>
        <v>1</v>
      </c>
      <c r="AB53">
        <f>IF(Summary!AL54&gt;20,1,0)</f>
        <v>1</v>
      </c>
      <c r="AC53">
        <f>IF(Summary!AM54&gt;20,1,0)</f>
        <v>1</v>
      </c>
      <c r="AD53">
        <f>IF(Summary!AN54&gt;20,1,0)</f>
        <v>1</v>
      </c>
      <c r="AE53">
        <f>IF(Summary!AO54&gt;20,1,0)</f>
        <v>1</v>
      </c>
      <c r="AF53">
        <f>IF(Summary!AP54&gt;20,1,0)</f>
        <v>1</v>
      </c>
      <c r="AG53">
        <f>IF(Summary!AQ54&gt;20,1,0)</f>
        <v>0</v>
      </c>
      <c r="AH53">
        <f>IF(Summary!AR54&gt;20,1,0)</f>
        <v>1</v>
      </c>
      <c r="AI53">
        <f>IF(Summary!AS54&gt;20,1,0)</f>
        <v>1</v>
      </c>
      <c r="AJ53">
        <f>IF(Summary!AT54&gt;20,1,0)</f>
        <v>1</v>
      </c>
      <c r="AK53">
        <f>IF(Summary!AU54&gt;20,1,0)</f>
        <v>1</v>
      </c>
      <c r="AL53">
        <f>IF(Summary!AV54&gt;20,1,0)</f>
        <v>1</v>
      </c>
      <c r="AM53">
        <f>IF(Summary!AW54&gt;20,1,0)</f>
        <v>1</v>
      </c>
      <c r="AO53">
        <v>52</v>
      </c>
      <c r="AP53">
        <f t="shared" si="2"/>
        <v>33</v>
      </c>
      <c r="AQ53">
        <f t="shared" si="3"/>
        <v>1610</v>
      </c>
      <c r="AS53">
        <f>B53*Summary!L54</f>
        <v>50</v>
      </c>
      <c r="AT53">
        <f>C53*Summary!M54</f>
        <v>0</v>
      </c>
      <c r="AU53">
        <f>D53*Summary!N54</f>
        <v>0</v>
      </c>
      <c r="AV53">
        <f>E53*Summary!O54</f>
        <v>48</v>
      </c>
      <c r="AW53">
        <f>F53*Summary!P54</f>
        <v>32</v>
      </c>
      <c r="AX53">
        <f>G53*Summary!Q54</f>
        <v>41</v>
      </c>
      <c r="AY53">
        <f>H53*Summary!R54</f>
        <v>51</v>
      </c>
      <c r="AZ53">
        <f>I53*Summary!S54</f>
        <v>0</v>
      </c>
      <c r="BA53">
        <f>J53*Summary!T54</f>
        <v>54</v>
      </c>
      <c r="BB53">
        <f>K53*Summary!U54</f>
        <v>48</v>
      </c>
      <c r="BC53">
        <f>L53*Summary!V54</f>
        <v>41</v>
      </c>
      <c r="BD53">
        <f>M53*Summary!W54</f>
        <v>48</v>
      </c>
      <c r="BE53">
        <f>N53*Summary!X54</f>
        <v>48</v>
      </c>
      <c r="BF53">
        <f>O53*Summary!Y54</f>
        <v>49</v>
      </c>
      <c r="BG53">
        <f>P53*Summary!Z54</f>
        <v>51</v>
      </c>
      <c r="BH53">
        <f>Q53*Summary!AA54</f>
        <v>0</v>
      </c>
      <c r="BI53">
        <f>R53*Summary!AB54</f>
        <v>49</v>
      </c>
      <c r="BJ53">
        <f>S53*Summary!AC54</f>
        <v>50</v>
      </c>
      <c r="BK53">
        <f>T53*Summary!AD54</f>
        <v>45</v>
      </c>
      <c r="BL53">
        <f>U53*Summary!AE54</f>
        <v>50</v>
      </c>
      <c r="BM53">
        <f>V53*Summary!AF54</f>
        <v>53</v>
      </c>
      <c r="BN53">
        <f>W53*Summary!AG54</f>
        <v>49</v>
      </c>
      <c r="BO53">
        <f>X53*Summary!AH54</f>
        <v>52</v>
      </c>
      <c r="BP53">
        <f>Y53*Summary!AI54</f>
        <v>44</v>
      </c>
      <c r="BQ53">
        <f>Z53*Summary!AJ54</f>
        <v>55</v>
      </c>
      <c r="BR53">
        <f>AA53*Summary!AK54</f>
        <v>52</v>
      </c>
      <c r="BS53">
        <f>AB53*Summary!AL54</f>
        <v>51</v>
      </c>
      <c r="BT53">
        <f>AC53*Summary!AM54</f>
        <v>40</v>
      </c>
      <c r="BU53">
        <f>AD53*Summary!AN54</f>
        <v>51</v>
      </c>
      <c r="BV53">
        <f>AE53*Summary!AO54</f>
        <v>46</v>
      </c>
      <c r="BW53">
        <f>AF53*Summary!AP54</f>
        <v>52</v>
      </c>
      <c r="BX53">
        <f>AG53*Summary!AQ54</f>
        <v>0</v>
      </c>
      <c r="BY53">
        <f>AH53*Summary!AR54</f>
        <v>57</v>
      </c>
      <c r="BZ53">
        <f>AI53*Summary!AS54</f>
        <v>57</v>
      </c>
      <c r="CA53">
        <f>AJ53*Summary!AT54</f>
        <v>49</v>
      </c>
      <c r="CB53">
        <f>AK53*Summary!AU54</f>
        <v>51</v>
      </c>
      <c r="CC53">
        <f>AL53*Summary!AV54</f>
        <v>49</v>
      </c>
      <c r="CD53">
        <f>AM53*Summary!AW54</f>
        <v>47</v>
      </c>
    </row>
    <row r="54" spans="1:82" x14ac:dyDescent="0.25">
      <c r="A54">
        <v>53</v>
      </c>
      <c r="B54">
        <f>IF(Summary!L55&gt;20,1,0)</f>
        <v>1</v>
      </c>
      <c r="C54">
        <f>IF(Summary!M55&gt;20,1,0)</f>
        <v>0</v>
      </c>
      <c r="D54">
        <f>IF(Summary!N55&gt;20,1,0)</f>
        <v>0</v>
      </c>
      <c r="E54">
        <f>IF(Summary!O55&gt;20,1,0)</f>
        <v>1</v>
      </c>
      <c r="F54">
        <f>IF(Summary!P55&gt;20,1,0)</f>
        <v>1</v>
      </c>
      <c r="G54">
        <f>IF(Summary!Q55&gt;20,1,0)</f>
        <v>1</v>
      </c>
      <c r="H54">
        <f>IF(Summary!R55&gt;20,1,0)</f>
        <v>1</v>
      </c>
      <c r="I54">
        <f>IF(Summary!S55&gt;20,1,0)</f>
        <v>0</v>
      </c>
      <c r="J54">
        <f>IF(Summary!T55&gt;20,1,0)</f>
        <v>1</v>
      </c>
      <c r="K54">
        <f>IF(Summary!U55&gt;20,1,0)</f>
        <v>1</v>
      </c>
      <c r="L54">
        <f>IF(Summary!V55&gt;20,1,0)</f>
        <v>1</v>
      </c>
      <c r="M54">
        <f>IF(Summary!W55&gt;20,1,0)</f>
        <v>1</v>
      </c>
      <c r="N54">
        <f>IF(Summary!X55&gt;20,1,0)</f>
        <v>1</v>
      </c>
      <c r="O54">
        <f>IF(Summary!Y55&gt;20,1,0)</f>
        <v>1</v>
      </c>
      <c r="P54">
        <f>IF(Summary!Z55&gt;20,1,0)</f>
        <v>1</v>
      </c>
      <c r="Q54">
        <f>IF(Summary!AA55&gt;20,1,0)</f>
        <v>0</v>
      </c>
      <c r="R54">
        <f>IF(Summary!AB55&gt;20,1,0)</f>
        <v>1</v>
      </c>
      <c r="S54">
        <f>IF(Summary!AC55&gt;20,1,0)</f>
        <v>1</v>
      </c>
      <c r="T54">
        <f>IF(Summary!AD55&gt;20,1,0)</f>
        <v>1</v>
      </c>
      <c r="U54">
        <f>IF(Summary!AE55&gt;20,1,0)</f>
        <v>1</v>
      </c>
      <c r="V54">
        <f>IF(Summary!AF55&gt;20,1,0)</f>
        <v>1</v>
      </c>
      <c r="W54">
        <f>IF(Summary!AG55&gt;20,1,0)</f>
        <v>1</v>
      </c>
      <c r="X54">
        <f>IF(Summary!AH55&gt;20,1,0)</f>
        <v>1</v>
      </c>
      <c r="Y54">
        <f>IF(Summary!AI55&gt;20,1,0)</f>
        <v>1</v>
      </c>
      <c r="Z54">
        <f>IF(Summary!AJ55&gt;20,1,0)</f>
        <v>1</v>
      </c>
      <c r="AA54">
        <f>IF(Summary!AK55&gt;20,1,0)</f>
        <v>1</v>
      </c>
      <c r="AB54">
        <f>IF(Summary!AL55&gt;20,1,0)</f>
        <v>1</v>
      </c>
      <c r="AC54">
        <f>IF(Summary!AM55&gt;20,1,0)</f>
        <v>1</v>
      </c>
      <c r="AD54">
        <f>IF(Summary!AN55&gt;20,1,0)</f>
        <v>1</v>
      </c>
      <c r="AE54">
        <f>IF(Summary!AO55&gt;20,1,0)</f>
        <v>1</v>
      </c>
      <c r="AF54">
        <f>IF(Summary!AP55&gt;20,1,0)</f>
        <v>1</v>
      </c>
      <c r="AG54">
        <f>IF(Summary!AQ55&gt;20,1,0)</f>
        <v>0</v>
      </c>
      <c r="AH54">
        <f>IF(Summary!AR55&gt;20,1,0)</f>
        <v>1</v>
      </c>
      <c r="AI54">
        <f>IF(Summary!AS55&gt;20,1,0)</f>
        <v>1</v>
      </c>
      <c r="AJ54">
        <f>IF(Summary!AT55&gt;20,1,0)</f>
        <v>1</v>
      </c>
      <c r="AK54">
        <f>IF(Summary!AU55&gt;20,1,0)</f>
        <v>1</v>
      </c>
      <c r="AL54">
        <f>IF(Summary!AV55&gt;20,1,0)</f>
        <v>1</v>
      </c>
      <c r="AM54">
        <f>IF(Summary!AW55&gt;20,1,0)</f>
        <v>1</v>
      </c>
      <c r="AO54">
        <v>53</v>
      </c>
      <c r="AP54">
        <f t="shared" si="2"/>
        <v>33</v>
      </c>
      <c r="AQ54">
        <f t="shared" si="3"/>
        <v>1522</v>
      </c>
      <c r="AS54">
        <f>B54*Summary!L55</f>
        <v>55</v>
      </c>
      <c r="AT54">
        <f>C54*Summary!M55</f>
        <v>0</v>
      </c>
      <c r="AU54">
        <f>D54*Summary!N55</f>
        <v>0</v>
      </c>
      <c r="AV54">
        <f>E54*Summary!O55</f>
        <v>53</v>
      </c>
      <c r="AW54">
        <f>F54*Summary!P55</f>
        <v>34</v>
      </c>
      <c r="AX54">
        <f>G54*Summary!Q55</f>
        <v>42</v>
      </c>
      <c r="AY54">
        <f>H54*Summary!R55</f>
        <v>51</v>
      </c>
      <c r="AZ54">
        <f>I54*Summary!S55</f>
        <v>0</v>
      </c>
      <c r="BA54">
        <f>J54*Summary!T55</f>
        <v>55</v>
      </c>
      <c r="BB54">
        <f>K54*Summary!U55</f>
        <v>46</v>
      </c>
      <c r="BC54">
        <f>L54*Summary!V55</f>
        <v>37</v>
      </c>
      <c r="BD54">
        <f>M54*Summary!W55</f>
        <v>44</v>
      </c>
      <c r="BE54">
        <f>N54*Summary!X55</f>
        <v>38</v>
      </c>
      <c r="BF54">
        <f>O54*Summary!Y55</f>
        <v>50</v>
      </c>
      <c r="BG54">
        <f>P54*Summary!Z55</f>
        <v>51</v>
      </c>
      <c r="BH54">
        <f>Q54*Summary!AA55</f>
        <v>0</v>
      </c>
      <c r="BI54">
        <f>R54*Summary!AB55</f>
        <v>51</v>
      </c>
      <c r="BJ54">
        <f>S54*Summary!AC55</f>
        <v>46</v>
      </c>
      <c r="BK54">
        <f>T54*Summary!AD55</f>
        <v>48</v>
      </c>
      <c r="BL54">
        <f>U54*Summary!AE55</f>
        <v>39</v>
      </c>
      <c r="BM54">
        <f>V54*Summary!AF55</f>
        <v>48</v>
      </c>
      <c r="BN54">
        <f>W54*Summary!AG55</f>
        <v>35</v>
      </c>
      <c r="BO54">
        <f>X54*Summary!AH55</f>
        <v>43</v>
      </c>
      <c r="BP54">
        <f>Y54*Summary!AI55</f>
        <v>46</v>
      </c>
      <c r="BQ54">
        <f>Z54*Summary!AJ55</f>
        <v>46</v>
      </c>
      <c r="BR54">
        <f>AA54*Summary!AK55</f>
        <v>46</v>
      </c>
      <c r="BS54">
        <f>AB54*Summary!AL55</f>
        <v>50</v>
      </c>
      <c r="BT54">
        <f>AC54*Summary!AM55</f>
        <v>48</v>
      </c>
      <c r="BU54">
        <f>AD54*Summary!AN55</f>
        <v>47</v>
      </c>
      <c r="BV54">
        <f>AE54*Summary!AO55</f>
        <v>45</v>
      </c>
      <c r="BW54">
        <f>AF54*Summary!AP55</f>
        <v>48</v>
      </c>
      <c r="BX54">
        <f>AG54*Summary!AQ55</f>
        <v>0</v>
      </c>
      <c r="BY54">
        <f>AH54*Summary!AR55</f>
        <v>49</v>
      </c>
      <c r="BZ54">
        <f>AI54*Summary!AS55</f>
        <v>49</v>
      </c>
      <c r="CA54">
        <f>AJ54*Summary!AT55</f>
        <v>48</v>
      </c>
      <c r="CB54">
        <f>AK54*Summary!AU55</f>
        <v>45</v>
      </c>
      <c r="CC54">
        <f>AL54*Summary!AV55</f>
        <v>39</v>
      </c>
      <c r="CD54">
        <f>AM54*Summary!AW55</f>
        <v>50</v>
      </c>
    </row>
    <row r="55" spans="1:82" x14ac:dyDescent="0.25">
      <c r="A55">
        <v>54</v>
      </c>
      <c r="B55">
        <f>IF(Summary!L56&gt;20,1,0)</f>
        <v>1</v>
      </c>
      <c r="C55">
        <f>IF(Summary!M56&gt;20,1,0)</f>
        <v>0</v>
      </c>
      <c r="D55">
        <f>IF(Summary!N56&gt;20,1,0)</f>
        <v>0</v>
      </c>
      <c r="E55">
        <f>IF(Summary!O56&gt;20,1,0)</f>
        <v>1</v>
      </c>
      <c r="F55">
        <f>IF(Summary!P56&gt;20,1,0)</f>
        <v>1</v>
      </c>
      <c r="G55">
        <f>IF(Summary!Q56&gt;20,1,0)</f>
        <v>1</v>
      </c>
      <c r="H55">
        <f>IF(Summary!R56&gt;20,1,0)</f>
        <v>1</v>
      </c>
      <c r="I55">
        <f>IF(Summary!S56&gt;20,1,0)</f>
        <v>0</v>
      </c>
      <c r="J55">
        <f>IF(Summary!T56&gt;20,1,0)</f>
        <v>1</v>
      </c>
      <c r="K55">
        <f>IF(Summary!U56&gt;20,1,0)</f>
        <v>1</v>
      </c>
      <c r="L55">
        <f>IF(Summary!V56&gt;20,1,0)</f>
        <v>1</v>
      </c>
      <c r="M55">
        <f>IF(Summary!W56&gt;20,1,0)</f>
        <v>1</v>
      </c>
      <c r="N55">
        <f>IF(Summary!X56&gt;20,1,0)</f>
        <v>1</v>
      </c>
      <c r="O55">
        <f>IF(Summary!Y56&gt;20,1,0)</f>
        <v>1</v>
      </c>
      <c r="P55">
        <f>IF(Summary!Z56&gt;20,1,0)</f>
        <v>1</v>
      </c>
      <c r="Q55">
        <f>IF(Summary!AA56&gt;20,1,0)</f>
        <v>0</v>
      </c>
      <c r="R55">
        <f>IF(Summary!AB56&gt;20,1,0)</f>
        <v>1</v>
      </c>
      <c r="S55">
        <f>IF(Summary!AC56&gt;20,1,0)</f>
        <v>1</v>
      </c>
      <c r="T55">
        <f>IF(Summary!AD56&gt;20,1,0)</f>
        <v>1</v>
      </c>
      <c r="U55">
        <f>IF(Summary!AE56&gt;20,1,0)</f>
        <v>1</v>
      </c>
      <c r="V55">
        <f>IF(Summary!AF56&gt;20,1,0)</f>
        <v>1</v>
      </c>
      <c r="W55">
        <f>IF(Summary!AG56&gt;20,1,0)</f>
        <v>1</v>
      </c>
      <c r="X55">
        <f>IF(Summary!AH56&gt;20,1,0)</f>
        <v>1</v>
      </c>
      <c r="Y55">
        <f>IF(Summary!AI56&gt;20,1,0)</f>
        <v>1</v>
      </c>
      <c r="Z55">
        <f>IF(Summary!AJ56&gt;20,1,0)</f>
        <v>1</v>
      </c>
      <c r="AA55">
        <f>IF(Summary!AK56&gt;20,1,0)</f>
        <v>1</v>
      </c>
      <c r="AB55">
        <f>IF(Summary!AL56&gt;20,1,0)</f>
        <v>1</v>
      </c>
      <c r="AC55">
        <f>IF(Summary!AM56&gt;20,1,0)</f>
        <v>1</v>
      </c>
      <c r="AD55">
        <f>IF(Summary!AN56&gt;20,1,0)</f>
        <v>1</v>
      </c>
      <c r="AE55">
        <f>IF(Summary!AO56&gt;20,1,0)</f>
        <v>1</v>
      </c>
      <c r="AF55">
        <f>IF(Summary!AP56&gt;20,1,0)</f>
        <v>1</v>
      </c>
      <c r="AG55">
        <f>IF(Summary!AQ56&gt;20,1,0)</f>
        <v>0</v>
      </c>
      <c r="AH55">
        <f>IF(Summary!AR56&gt;20,1,0)</f>
        <v>1</v>
      </c>
      <c r="AI55">
        <f>IF(Summary!AS56&gt;20,1,0)</f>
        <v>1</v>
      </c>
      <c r="AJ55">
        <f>IF(Summary!AT56&gt;20,1,0)</f>
        <v>1</v>
      </c>
      <c r="AK55">
        <f>IF(Summary!AU56&gt;20,1,0)</f>
        <v>1</v>
      </c>
      <c r="AL55">
        <f>IF(Summary!AV56&gt;20,1,0)</f>
        <v>1</v>
      </c>
      <c r="AM55">
        <f>IF(Summary!AW56&gt;20,1,0)</f>
        <v>1</v>
      </c>
      <c r="AO55">
        <v>54</v>
      </c>
      <c r="AP55">
        <f t="shared" si="2"/>
        <v>33</v>
      </c>
      <c r="AQ55">
        <f t="shared" si="3"/>
        <v>1500</v>
      </c>
      <c r="AS55">
        <f>B55*Summary!L56</f>
        <v>54</v>
      </c>
      <c r="AT55">
        <f>C55*Summary!M56</f>
        <v>0</v>
      </c>
      <c r="AU55">
        <f>D55*Summary!N56</f>
        <v>0</v>
      </c>
      <c r="AV55">
        <f>E55*Summary!O56</f>
        <v>52</v>
      </c>
      <c r="AW55">
        <f>F55*Summary!P56</f>
        <v>25</v>
      </c>
      <c r="AX55">
        <f>G55*Summary!Q56</f>
        <v>44</v>
      </c>
      <c r="AY55">
        <f>H55*Summary!R56</f>
        <v>47</v>
      </c>
      <c r="AZ55">
        <f>I55*Summary!S56</f>
        <v>0</v>
      </c>
      <c r="BA55">
        <f>J55*Summary!T56</f>
        <v>53</v>
      </c>
      <c r="BB55">
        <f>K55*Summary!U56</f>
        <v>44</v>
      </c>
      <c r="BC55">
        <f>L55*Summary!V56</f>
        <v>39</v>
      </c>
      <c r="BD55">
        <f>M55*Summary!W56</f>
        <v>49</v>
      </c>
      <c r="BE55">
        <f>N55*Summary!X56</f>
        <v>43</v>
      </c>
      <c r="BF55">
        <f>O55*Summary!Y56</f>
        <v>50</v>
      </c>
      <c r="BG55">
        <f>P55*Summary!Z56</f>
        <v>50</v>
      </c>
      <c r="BH55">
        <f>Q55*Summary!AA56</f>
        <v>0</v>
      </c>
      <c r="BI55">
        <f>R55*Summary!AB56</f>
        <v>52</v>
      </c>
      <c r="BJ55">
        <f>S55*Summary!AC56</f>
        <v>50</v>
      </c>
      <c r="BK55">
        <f>T55*Summary!AD56</f>
        <v>40</v>
      </c>
      <c r="BL55">
        <f>U55*Summary!AE56</f>
        <v>42</v>
      </c>
      <c r="BM55">
        <f>V55*Summary!AF56</f>
        <v>44</v>
      </c>
      <c r="BN55">
        <f>W55*Summary!AG56</f>
        <v>50</v>
      </c>
      <c r="BO55">
        <f>X55*Summary!AH56</f>
        <v>49</v>
      </c>
      <c r="BP55">
        <f>Y55*Summary!AI56</f>
        <v>48</v>
      </c>
      <c r="BQ55">
        <f>Z55*Summary!AJ56</f>
        <v>50</v>
      </c>
      <c r="BR55">
        <f>AA55*Summary!AK56</f>
        <v>42</v>
      </c>
      <c r="BS55">
        <f>AB55*Summary!AL56</f>
        <v>51</v>
      </c>
      <c r="BT55">
        <f>AC55*Summary!AM56</f>
        <v>45</v>
      </c>
      <c r="BU55">
        <f>AD55*Summary!AN56</f>
        <v>48</v>
      </c>
      <c r="BV55">
        <f>AE55*Summary!AO56</f>
        <v>47</v>
      </c>
      <c r="BW55">
        <f>AF55*Summary!AP56</f>
        <v>35</v>
      </c>
      <c r="BX55">
        <f>AG55*Summary!AQ56</f>
        <v>0</v>
      </c>
      <c r="BY55">
        <f>AH55*Summary!AR56</f>
        <v>52</v>
      </c>
      <c r="BZ55">
        <f>AI55*Summary!AS56</f>
        <v>47</v>
      </c>
      <c r="CA55">
        <f>AJ55*Summary!AT56</f>
        <v>43</v>
      </c>
      <c r="CB55">
        <f>AK55*Summary!AU56</f>
        <v>28</v>
      </c>
      <c r="CC55">
        <f>AL55*Summary!AV56</f>
        <v>45</v>
      </c>
      <c r="CD55">
        <f>AM55*Summary!AW56</f>
        <v>42</v>
      </c>
    </row>
    <row r="56" spans="1:82" x14ac:dyDescent="0.25">
      <c r="A56">
        <v>55</v>
      </c>
      <c r="B56">
        <f>IF(Summary!L57&gt;20,1,0)</f>
        <v>1</v>
      </c>
      <c r="C56">
        <f>IF(Summary!M57&gt;20,1,0)</f>
        <v>1</v>
      </c>
      <c r="D56">
        <f>IF(Summary!N57&gt;20,1,0)</f>
        <v>0</v>
      </c>
      <c r="E56">
        <f>IF(Summary!O57&gt;20,1,0)</f>
        <v>1</v>
      </c>
      <c r="F56">
        <f>IF(Summary!P57&gt;20,1,0)</f>
        <v>1</v>
      </c>
      <c r="G56">
        <f>IF(Summary!Q57&gt;20,1,0)</f>
        <v>1</v>
      </c>
      <c r="H56">
        <f>IF(Summary!R57&gt;20,1,0)</f>
        <v>1</v>
      </c>
      <c r="I56">
        <f>IF(Summary!S57&gt;20,1,0)</f>
        <v>0</v>
      </c>
      <c r="J56">
        <f>IF(Summary!T57&gt;20,1,0)</f>
        <v>1</v>
      </c>
      <c r="K56">
        <f>IF(Summary!U57&gt;20,1,0)</f>
        <v>1</v>
      </c>
      <c r="L56">
        <f>IF(Summary!V57&gt;20,1,0)</f>
        <v>1</v>
      </c>
      <c r="M56">
        <f>IF(Summary!W57&gt;20,1,0)</f>
        <v>1</v>
      </c>
      <c r="N56">
        <f>IF(Summary!X57&gt;20,1,0)</f>
        <v>1</v>
      </c>
      <c r="O56">
        <f>IF(Summary!Y57&gt;20,1,0)</f>
        <v>1</v>
      </c>
      <c r="P56">
        <f>IF(Summary!Z57&gt;20,1,0)</f>
        <v>1</v>
      </c>
      <c r="Q56">
        <f>IF(Summary!AA57&gt;20,1,0)</f>
        <v>0</v>
      </c>
      <c r="R56">
        <f>IF(Summary!AB57&gt;20,1,0)</f>
        <v>1</v>
      </c>
      <c r="S56">
        <f>IF(Summary!AC57&gt;20,1,0)</f>
        <v>1</v>
      </c>
      <c r="T56">
        <f>IF(Summary!AD57&gt;20,1,0)</f>
        <v>1</v>
      </c>
      <c r="U56">
        <f>IF(Summary!AE57&gt;20,1,0)</f>
        <v>1</v>
      </c>
      <c r="V56">
        <f>IF(Summary!AF57&gt;20,1,0)</f>
        <v>1</v>
      </c>
      <c r="W56">
        <f>IF(Summary!AG57&gt;20,1,0)</f>
        <v>1</v>
      </c>
      <c r="X56">
        <f>IF(Summary!AH57&gt;20,1,0)</f>
        <v>1</v>
      </c>
      <c r="Y56">
        <f>IF(Summary!AI57&gt;20,1,0)</f>
        <v>1</v>
      </c>
      <c r="Z56">
        <f>IF(Summary!AJ57&gt;20,1,0)</f>
        <v>1</v>
      </c>
      <c r="AA56">
        <f>IF(Summary!AK57&gt;20,1,0)</f>
        <v>1</v>
      </c>
      <c r="AB56">
        <f>IF(Summary!AL57&gt;20,1,0)</f>
        <v>1</v>
      </c>
      <c r="AC56">
        <f>IF(Summary!AM57&gt;20,1,0)</f>
        <v>1</v>
      </c>
      <c r="AD56">
        <f>IF(Summary!AN57&gt;20,1,0)</f>
        <v>1</v>
      </c>
      <c r="AE56">
        <f>IF(Summary!AO57&gt;20,1,0)</f>
        <v>1</v>
      </c>
      <c r="AF56">
        <f>IF(Summary!AP57&gt;20,1,0)</f>
        <v>1</v>
      </c>
      <c r="AG56">
        <f>IF(Summary!AQ57&gt;20,1,0)</f>
        <v>0</v>
      </c>
      <c r="AH56">
        <f>IF(Summary!AR57&gt;20,1,0)</f>
        <v>1</v>
      </c>
      <c r="AI56">
        <f>IF(Summary!AS57&gt;20,1,0)</f>
        <v>1</v>
      </c>
      <c r="AJ56">
        <f>IF(Summary!AT57&gt;20,1,0)</f>
        <v>1</v>
      </c>
      <c r="AK56">
        <f>IF(Summary!AU57&gt;20,1,0)</f>
        <v>1</v>
      </c>
      <c r="AL56">
        <f>IF(Summary!AV57&gt;20,1,0)</f>
        <v>1</v>
      </c>
      <c r="AM56">
        <f>IF(Summary!AW57&gt;20,1,0)</f>
        <v>1</v>
      </c>
      <c r="AO56">
        <v>55</v>
      </c>
      <c r="AP56">
        <f t="shared" si="2"/>
        <v>34</v>
      </c>
      <c r="AQ56">
        <f t="shared" si="3"/>
        <v>1598</v>
      </c>
      <c r="AS56">
        <f>B56*Summary!L57</f>
        <v>58</v>
      </c>
      <c r="AT56">
        <f>C56*Summary!M57</f>
        <v>38</v>
      </c>
      <c r="AU56">
        <f>D56*Summary!N57</f>
        <v>0</v>
      </c>
      <c r="AV56">
        <f>E56*Summary!O57</f>
        <v>46</v>
      </c>
      <c r="AW56">
        <f>F56*Summary!P57</f>
        <v>29</v>
      </c>
      <c r="AX56">
        <f>G56*Summary!Q57</f>
        <v>43</v>
      </c>
      <c r="AY56">
        <f>H56*Summary!R57</f>
        <v>47</v>
      </c>
      <c r="AZ56">
        <f>I56*Summary!S57</f>
        <v>0</v>
      </c>
      <c r="BA56">
        <f>J56*Summary!T57</f>
        <v>58</v>
      </c>
      <c r="BB56">
        <f>K56*Summary!U57</f>
        <v>43</v>
      </c>
      <c r="BC56">
        <f>L56*Summary!V57</f>
        <v>51</v>
      </c>
      <c r="BD56">
        <f>M56*Summary!W57</f>
        <v>44</v>
      </c>
      <c r="BE56">
        <f>N56*Summary!X57</f>
        <v>41</v>
      </c>
      <c r="BF56">
        <f>O56*Summary!Y57</f>
        <v>46</v>
      </c>
      <c r="BG56">
        <f>P56*Summary!Z57</f>
        <v>48</v>
      </c>
      <c r="BH56">
        <f>Q56*Summary!AA57</f>
        <v>0</v>
      </c>
      <c r="BI56">
        <f>R56*Summary!AB57</f>
        <v>55</v>
      </c>
      <c r="BJ56">
        <f>S56*Summary!AC57</f>
        <v>47</v>
      </c>
      <c r="BK56">
        <f>T56*Summary!AD57</f>
        <v>50</v>
      </c>
      <c r="BL56">
        <f>U56*Summary!AE57</f>
        <v>44</v>
      </c>
      <c r="BM56">
        <f>V56*Summary!AF57</f>
        <v>48</v>
      </c>
      <c r="BN56">
        <f>W56*Summary!AG57</f>
        <v>45</v>
      </c>
      <c r="BO56">
        <f>X56*Summary!AH57</f>
        <v>56</v>
      </c>
      <c r="BP56">
        <f>Y56*Summary!AI57</f>
        <v>47</v>
      </c>
      <c r="BQ56">
        <f>Z56*Summary!AJ57</f>
        <v>50</v>
      </c>
      <c r="BR56">
        <f>AA56*Summary!AK57</f>
        <v>47</v>
      </c>
      <c r="BS56">
        <f>AB56*Summary!AL57</f>
        <v>46</v>
      </c>
      <c r="BT56">
        <f>AC56*Summary!AM57</f>
        <v>45</v>
      </c>
      <c r="BU56">
        <f>AD56*Summary!AN57</f>
        <v>52</v>
      </c>
      <c r="BV56">
        <f>AE56*Summary!AO57</f>
        <v>54</v>
      </c>
      <c r="BW56">
        <f>AF56*Summary!AP57</f>
        <v>45</v>
      </c>
      <c r="BX56">
        <f>AG56*Summary!AQ57</f>
        <v>0</v>
      </c>
      <c r="BY56">
        <f>AH56*Summary!AR57</f>
        <v>48</v>
      </c>
      <c r="BZ56">
        <f>AI56*Summary!AS57</f>
        <v>43</v>
      </c>
      <c r="CA56">
        <f>AJ56*Summary!AT57</f>
        <v>49</v>
      </c>
      <c r="CB56">
        <f>AK56*Summary!AU57</f>
        <v>51</v>
      </c>
      <c r="CC56">
        <f>AL56*Summary!AV57</f>
        <v>41</v>
      </c>
      <c r="CD56">
        <f>AM56*Summary!AW57</f>
        <v>43</v>
      </c>
    </row>
    <row r="57" spans="1:82" x14ac:dyDescent="0.25">
      <c r="A57">
        <v>56</v>
      </c>
      <c r="B57">
        <f>IF(Summary!L58&gt;20,1,0)</f>
        <v>1</v>
      </c>
      <c r="C57">
        <f>IF(Summary!M58&gt;20,1,0)</f>
        <v>1</v>
      </c>
      <c r="D57">
        <f>IF(Summary!N58&gt;20,1,0)</f>
        <v>0</v>
      </c>
      <c r="E57">
        <f>IF(Summary!O58&gt;20,1,0)</f>
        <v>1</v>
      </c>
      <c r="F57">
        <f>IF(Summary!P58&gt;20,1,0)</f>
        <v>0</v>
      </c>
      <c r="G57">
        <f>IF(Summary!Q58&gt;20,1,0)</f>
        <v>1</v>
      </c>
      <c r="H57">
        <f>IF(Summary!R58&gt;20,1,0)</f>
        <v>1</v>
      </c>
      <c r="I57">
        <f>IF(Summary!S58&gt;20,1,0)</f>
        <v>0</v>
      </c>
      <c r="J57">
        <f>IF(Summary!T58&gt;20,1,0)</f>
        <v>1</v>
      </c>
      <c r="K57">
        <f>IF(Summary!U58&gt;20,1,0)</f>
        <v>1</v>
      </c>
      <c r="L57">
        <f>IF(Summary!V58&gt;20,1,0)</f>
        <v>1</v>
      </c>
      <c r="M57">
        <f>IF(Summary!W58&gt;20,1,0)</f>
        <v>1</v>
      </c>
      <c r="N57">
        <f>IF(Summary!X58&gt;20,1,0)</f>
        <v>1</v>
      </c>
      <c r="O57">
        <f>IF(Summary!Y58&gt;20,1,0)</f>
        <v>1</v>
      </c>
      <c r="P57">
        <f>IF(Summary!Z58&gt;20,1,0)</f>
        <v>1</v>
      </c>
      <c r="Q57">
        <f>IF(Summary!AA58&gt;20,1,0)</f>
        <v>0</v>
      </c>
      <c r="R57">
        <f>IF(Summary!AB58&gt;20,1,0)</f>
        <v>1</v>
      </c>
      <c r="S57">
        <f>IF(Summary!AC58&gt;20,1,0)</f>
        <v>1</v>
      </c>
      <c r="T57">
        <f>IF(Summary!AD58&gt;20,1,0)</f>
        <v>1</v>
      </c>
      <c r="U57">
        <f>IF(Summary!AE58&gt;20,1,0)</f>
        <v>1</v>
      </c>
      <c r="V57">
        <f>IF(Summary!AF58&gt;20,1,0)</f>
        <v>1</v>
      </c>
      <c r="W57">
        <f>IF(Summary!AG58&gt;20,1,0)</f>
        <v>1</v>
      </c>
      <c r="X57">
        <f>IF(Summary!AH58&gt;20,1,0)</f>
        <v>1</v>
      </c>
      <c r="Y57">
        <f>IF(Summary!AI58&gt;20,1,0)</f>
        <v>1</v>
      </c>
      <c r="Z57">
        <f>IF(Summary!AJ58&gt;20,1,0)</f>
        <v>1</v>
      </c>
      <c r="AA57">
        <f>IF(Summary!AK58&gt;20,1,0)</f>
        <v>1</v>
      </c>
      <c r="AB57">
        <f>IF(Summary!AL58&gt;20,1,0)</f>
        <v>1</v>
      </c>
      <c r="AC57">
        <f>IF(Summary!AM58&gt;20,1,0)</f>
        <v>1</v>
      </c>
      <c r="AD57">
        <f>IF(Summary!AN58&gt;20,1,0)</f>
        <v>1</v>
      </c>
      <c r="AE57">
        <f>IF(Summary!AO58&gt;20,1,0)</f>
        <v>1</v>
      </c>
      <c r="AF57">
        <f>IF(Summary!AP58&gt;20,1,0)</f>
        <v>1</v>
      </c>
      <c r="AG57">
        <f>IF(Summary!AQ58&gt;20,1,0)</f>
        <v>0</v>
      </c>
      <c r="AH57">
        <f>IF(Summary!AR58&gt;20,1,0)</f>
        <v>1</v>
      </c>
      <c r="AI57">
        <f>IF(Summary!AS58&gt;20,1,0)</f>
        <v>1</v>
      </c>
      <c r="AJ57">
        <f>IF(Summary!AT58&gt;20,1,0)</f>
        <v>1</v>
      </c>
      <c r="AK57">
        <f>IF(Summary!AU58&gt;20,1,0)</f>
        <v>1</v>
      </c>
      <c r="AL57">
        <f>IF(Summary!AV58&gt;20,1,0)</f>
        <v>1</v>
      </c>
      <c r="AM57">
        <f>IF(Summary!AW58&gt;20,1,0)</f>
        <v>1</v>
      </c>
      <c r="AO57">
        <v>56</v>
      </c>
      <c r="AP57">
        <f t="shared" si="2"/>
        <v>33</v>
      </c>
      <c r="AQ57">
        <f t="shared" si="3"/>
        <v>1482</v>
      </c>
      <c r="AS57">
        <f>B57*Summary!L58</f>
        <v>50</v>
      </c>
      <c r="AT57">
        <f>C57*Summary!M58</f>
        <v>32</v>
      </c>
      <c r="AU57">
        <f>D57*Summary!N58</f>
        <v>0</v>
      </c>
      <c r="AV57">
        <f>E57*Summary!O58</f>
        <v>51</v>
      </c>
      <c r="AW57">
        <f>F57*Summary!P58</f>
        <v>0</v>
      </c>
      <c r="AX57">
        <f>G57*Summary!Q58</f>
        <v>42</v>
      </c>
      <c r="AY57">
        <f>H57*Summary!R58</f>
        <v>50</v>
      </c>
      <c r="AZ57">
        <f>I57*Summary!S58</f>
        <v>0</v>
      </c>
      <c r="BA57">
        <f>J57*Summary!T58</f>
        <v>50</v>
      </c>
      <c r="BB57">
        <f>K57*Summary!U58</f>
        <v>44</v>
      </c>
      <c r="BC57">
        <f>L57*Summary!V58</f>
        <v>42</v>
      </c>
      <c r="BD57">
        <f>M57*Summary!W58</f>
        <v>44</v>
      </c>
      <c r="BE57">
        <f>N57*Summary!X58</f>
        <v>45</v>
      </c>
      <c r="BF57">
        <f>O57*Summary!Y58</f>
        <v>48</v>
      </c>
      <c r="BG57">
        <f>P57*Summary!Z58</f>
        <v>54</v>
      </c>
      <c r="BH57">
        <f>Q57*Summary!AA58</f>
        <v>0</v>
      </c>
      <c r="BI57">
        <f>R57*Summary!AB58</f>
        <v>51</v>
      </c>
      <c r="BJ57">
        <f>S57*Summary!AC58</f>
        <v>50</v>
      </c>
      <c r="BK57">
        <f>T57*Summary!AD58</f>
        <v>44</v>
      </c>
      <c r="BL57">
        <f>U57*Summary!AE58</f>
        <v>40</v>
      </c>
      <c r="BM57">
        <f>V57*Summary!AF58</f>
        <v>35</v>
      </c>
      <c r="BN57">
        <f>W57*Summary!AG58</f>
        <v>44</v>
      </c>
      <c r="BO57">
        <f>X57*Summary!AH58</f>
        <v>50</v>
      </c>
      <c r="BP57">
        <f>Y57*Summary!AI58</f>
        <v>47</v>
      </c>
      <c r="BQ57">
        <f>Z57*Summary!AJ58</f>
        <v>43</v>
      </c>
      <c r="BR57">
        <f>AA57*Summary!AK58</f>
        <v>41</v>
      </c>
      <c r="BS57">
        <f>AB57*Summary!AL58</f>
        <v>51</v>
      </c>
      <c r="BT57">
        <f>AC57*Summary!AM58</f>
        <v>45</v>
      </c>
      <c r="BU57">
        <f>AD57*Summary!AN58</f>
        <v>46</v>
      </c>
      <c r="BV57">
        <f>AE57*Summary!AO58</f>
        <v>47</v>
      </c>
      <c r="BW57">
        <f>AF57*Summary!AP58</f>
        <v>40</v>
      </c>
      <c r="BX57">
        <f>AG57*Summary!AQ58</f>
        <v>0</v>
      </c>
      <c r="BY57">
        <f>AH57*Summary!AR58</f>
        <v>52</v>
      </c>
      <c r="BZ57">
        <f>AI57*Summary!AS58</f>
        <v>44</v>
      </c>
      <c r="CA57">
        <f>AJ57*Summary!AT58</f>
        <v>50</v>
      </c>
      <c r="CB57">
        <f>AK57*Summary!AU58</f>
        <v>25</v>
      </c>
      <c r="CC57">
        <f>AL57*Summary!AV58</f>
        <v>40</v>
      </c>
      <c r="CD57">
        <f>AM57*Summary!AW58</f>
        <v>45</v>
      </c>
    </row>
    <row r="58" spans="1:82" x14ac:dyDescent="0.25">
      <c r="A58">
        <v>57</v>
      </c>
      <c r="B58">
        <f>IF(Summary!L59&gt;20,1,0)</f>
        <v>1</v>
      </c>
      <c r="C58">
        <f>IF(Summary!M59&gt;20,1,0)</f>
        <v>1</v>
      </c>
      <c r="D58">
        <f>IF(Summary!N59&gt;20,1,0)</f>
        <v>0</v>
      </c>
      <c r="E58">
        <f>IF(Summary!O59&gt;20,1,0)</f>
        <v>1</v>
      </c>
      <c r="F58">
        <f>IF(Summary!P59&gt;20,1,0)</f>
        <v>1</v>
      </c>
      <c r="G58">
        <f>IF(Summary!Q59&gt;20,1,0)</f>
        <v>1</v>
      </c>
      <c r="H58">
        <f>IF(Summary!R59&gt;20,1,0)</f>
        <v>1</v>
      </c>
      <c r="I58">
        <f>IF(Summary!S59&gt;20,1,0)</f>
        <v>0</v>
      </c>
      <c r="J58">
        <f>IF(Summary!T59&gt;20,1,0)</f>
        <v>1</v>
      </c>
      <c r="K58">
        <f>IF(Summary!U59&gt;20,1,0)</f>
        <v>1</v>
      </c>
      <c r="L58">
        <f>IF(Summary!V59&gt;20,1,0)</f>
        <v>1</v>
      </c>
      <c r="M58">
        <f>IF(Summary!W59&gt;20,1,0)</f>
        <v>1</v>
      </c>
      <c r="N58">
        <f>IF(Summary!X59&gt;20,1,0)</f>
        <v>1</v>
      </c>
      <c r="O58">
        <f>IF(Summary!Y59&gt;20,1,0)</f>
        <v>1</v>
      </c>
      <c r="P58">
        <f>IF(Summary!Z59&gt;20,1,0)</f>
        <v>1</v>
      </c>
      <c r="Q58">
        <f>IF(Summary!AA59&gt;20,1,0)</f>
        <v>0</v>
      </c>
      <c r="R58">
        <f>IF(Summary!AB59&gt;20,1,0)</f>
        <v>1</v>
      </c>
      <c r="S58">
        <f>IF(Summary!AC59&gt;20,1,0)</f>
        <v>1</v>
      </c>
      <c r="T58">
        <f>IF(Summary!AD59&gt;20,1,0)</f>
        <v>1</v>
      </c>
      <c r="U58">
        <f>IF(Summary!AE59&gt;20,1,0)</f>
        <v>1</v>
      </c>
      <c r="V58">
        <f>IF(Summary!AF59&gt;20,1,0)</f>
        <v>1</v>
      </c>
      <c r="W58">
        <f>IF(Summary!AG59&gt;20,1,0)</f>
        <v>1</v>
      </c>
      <c r="X58">
        <f>IF(Summary!AH59&gt;20,1,0)</f>
        <v>1</v>
      </c>
      <c r="Y58">
        <f>IF(Summary!AI59&gt;20,1,0)</f>
        <v>1</v>
      </c>
      <c r="Z58">
        <f>IF(Summary!AJ59&gt;20,1,0)</f>
        <v>1</v>
      </c>
      <c r="AA58">
        <f>IF(Summary!AK59&gt;20,1,0)</f>
        <v>1</v>
      </c>
      <c r="AB58">
        <f>IF(Summary!AL59&gt;20,1,0)</f>
        <v>1</v>
      </c>
      <c r="AC58">
        <f>IF(Summary!AM59&gt;20,1,0)</f>
        <v>1</v>
      </c>
      <c r="AD58">
        <f>IF(Summary!AN59&gt;20,1,0)</f>
        <v>1</v>
      </c>
      <c r="AE58">
        <f>IF(Summary!AO59&gt;20,1,0)</f>
        <v>1</v>
      </c>
      <c r="AF58">
        <f>IF(Summary!AP59&gt;20,1,0)</f>
        <v>1</v>
      </c>
      <c r="AG58">
        <f>IF(Summary!AQ59&gt;20,1,0)</f>
        <v>0</v>
      </c>
      <c r="AH58">
        <f>IF(Summary!AR59&gt;20,1,0)</f>
        <v>1</v>
      </c>
      <c r="AI58">
        <f>IF(Summary!AS59&gt;20,1,0)</f>
        <v>1</v>
      </c>
      <c r="AJ58">
        <f>IF(Summary!AT59&gt;20,1,0)</f>
        <v>1</v>
      </c>
      <c r="AK58">
        <f>IF(Summary!AU59&gt;20,1,0)</f>
        <v>1</v>
      </c>
      <c r="AL58">
        <f>IF(Summary!AV59&gt;20,1,0)</f>
        <v>1</v>
      </c>
      <c r="AM58">
        <f>IF(Summary!AW59&gt;20,1,0)</f>
        <v>1</v>
      </c>
      <c r="AO58">
        <v>57</v>
      </c>
      <c r="AP58">
        <f t="shared" si="2"/>
        <v>34</v>
      </c>
      <c r="AQ58">
        <f t="shared" si="3"/>
        <v>1580</v>
      </c>
      <c r="AS58">
        <f>B58*Summary!L59</f>
        <v>55</v>
      </c>
      <c r="AT58">
        <f>C58*Summary!M59</f>
        <v>49</v>
      </c>
      <c r="AU58">
        <f>D58*Summary!N59</f>
        <v>0</v>
      </c>
      <c r="AV58">
        <f>E58*Summary!O59</f>
        <v>47</v>
      </c>
      <c r="AW58">
        <f>F58*Summary!P59</f>
        <v>25</v>
      </c>
      <c r="AX58">
        <f>G58*Summary!Q59</f>
        <v>44</v>
      </c>
      <c r="AY58">
        <f>H58*Summary!R59</f>
        <v>54</v>
      </c>
      <c r="AZ58">
        <f>I58*Summary!S59</f>
        <v>0</v>
      </c>
      <c r="BA58">
        <f>J58*Summary!T59</f>
        <v>55</v>
      </c>
      <c r="BB58">
        <f>K58*Summary!U59</f>
        <v>45</v>
      </c>
      <c r="BC58">
        <f>L58*Summary!V59</f>
        <v>34</v>
      </c>
      <c r="BD58">
        <f>M58*Summary!W59</f>
        <v>45</v>
      </c>
      <c r="BE58">
        <f>N58*Summary!X59</f>
        <v>43</v>
      </c>
      <c r="BF58">
        <f>O58*Summary!Y59</f>
        <v>48</v>
      </c>
      <c r="BG58">
        <f>P58*Summary!Z59</f>
        <v>57</v>
      </c>
      <c r="BH58">
        <f>Q58*Summary!AA59</f>
        <v>0</v>
      </c>
      <c r="BI58">
        <f>R58*Summary!AB59</f>
        <v>49</v>
      </c>
      <c r="BJ58">
        <f>S58*Summary!AC59</f>
        <v>44</v>
      </c>
      <c r="BK58">
        <f>T58*Summary!AD59</f>
        <v>43</v>
      </c>
      <c r="BL58">
        <f>U58*Summary!AE59</f>
        <v>47</v>
      </c>
      <c r="BM58">
        <f>V58*Summary!AF59</f>
        <v>50</v>
      </c>
      <c r="BN58">
        <f>W58*Summary!AG59</f>
        <v>53</v>
      </c>
      <c r="BO58">
        <f>X58*Summary!AH59</f>
        <v>48</v>
      </c>
      <c r="BP58">
        <f>Y58*Summary!AI59</f>
        <v>46</v>
      </c>
      <c r="BQ58">
        <f>Z58*Summary!AJ59</f>
        <v>52</v>
      </c>
      <c r="BR58">
        <f>AA58*Summary!AK59</f>
        <v>50</v>
      </c>
      <c r="BS58">
        <f>AB58*Summary!AL59</f>
        <v>52</v>
      </c>
      <c r="BT58">
        <f>AC58*Summary!AM59</f>
        <v>48</v>
      </c>
      <c r="BU58">
        <f>AD58*Summary!AN59</f>
        <v>49</v>
      </c>
      <c r="BV58">
        <f>AE58*Summary!AO59</f>
        <v>39</v>
      </c>
      <c r="BW58">
        <f>AF58*Summary!AP59</f>
        <v>38</v>
      </c>
      <c r="BX58">
        <f>AG58*Summary!AQ59</f>
        <v>0</v>
      </c>
      <c r="BY58">
        <f>AH58*Summary!AR59</f>
        <v>37</v>
      </c>
      <c r="BZ58">
        <f>AI58*Summary!AS59</f>
        <v>40</v>
      </c>
      <c r="CA58">
        <f>AJ58*Summary!AT59</f>
        <v>57</v>
      </c>
      <c r="CB58">
        <f>AK58*Summary!AU59</f>
        <v>44</v>
      </c>
      <c r="CC58">
        <f>AL58*Summary!AV59</f>
        <v>46</v>
      </c>
      <c r="CD58">
        <f>AM58*Summary!AW59</f>
        <v>47</v>
      </c>
    </row>
    <row r="59" spans="1:82" x14ac:dyDescent="0.25">
      <c r="A59">
        <v>58</v>
      </c>
      <c r="B59">
        <f>IF(Summary!L60&gt;20,1,0)</f>
        <v>1</v>
      </c>
      <c r="C59">
        <f>IF(Summary!M60&gt;20,1,0)</f>
        <v>1</v>
      </c>
      <c r="D59">
        <f>IF(Summary!N60&gt;20,1,0)</f>
        <v>0</v>
      </c>
      <c r="E59">
        <f>IF(Summary!O60&gt;20,1,0)</f>
        <v>1</v>
      </c>
      <c r="F59">
        <f>IF(Summary!P60&gt;20,1,0)</f>
        <v>1</v>
      </c>
      <c r="G59">
        <f>IF(Summary!Q60&gt;20,1,0)</f>
        <v>1</v>
      </c>
      <c r="H59">
        <f>IF(Summary!R60&gt;20,1,0)</f>
        <v>1</v>
      </c>
      <c r="I59">
        <f>IF(Summary!S60&gt;20,1,0)</f>
        <v>0</v>
      </c>
      <c r="J59">
        <f>IF(Summary!T60&gt;20,1,0)</f>
        <v>1</v>
      </c>
      <c r="K59">
        <f>IF(Summary!U60&gt;20,1,0)</f>
        <v>1</v>
      </c>
      <c r="L59">
        <f>IF(Summary!V60&gt;20,1,0)</f>
        <v>1</v>
      </c>
      <c r="M59">
        <f>IF(Summary!W60&gt;20,1,0)</f>
        <v>1</v>
      </c>
      <c r="N59">
        <f>IF(Summary!X60&gt;20,1,0)</f>
        <v>1</v>
      </c>
      <c r="O59">
        <f>IF(Summary!Y60&gt;20,1,0)</f>
        <v>1</v>
      </c>
      <c r="P59">
        <f>IF(Summary!Z60&gt;20,1,0)</f>
        <v>1</v>
      </c>
      <c r="Q59">
        <f>IF(Summary!AA60&gt;20,1,0)</f>
        <v>0</v>
      </c>
      <c r="R59">
        <f>IF(Summary!AB60&gt;20,1,0)</f>
        <v>1</v>
      </c>
      <c r="S59">
        <f>IF(Summary!AC60&gt;20,1,0)</f>
        <v>1</v>
      </c>
      <c r="T59">
        <f>IF(Summary!AD60&gt;20,1,0)</f>
        <v>1</v>
      </c>
      <c r="U59">
        <f>IF(Summary!AE60&gt;20,1,0)</f>
        <v>1</v>
      </c>
      <c r="V59">
        <f>IF(Summary!AF60&gt;20,1,0)</f>
        <v>1</v>
      </c>
      <c r="W59">
        <f>IF(Summary!AG60&gt;20,1,0)</f>
        <v>1</v>
      </c>
      <c r="X59">
        <f>IF(Summary!AH60&gt;20,1,0)</f>
        <v>1</v>
      </c>
      <c r="Y59">
        <f>IF(Summary!AI60&gt;20,1,0)</f>
        <v>1</v>
      </c>
      <c r="Z59">
        <f>IF(Summary!AJ60&gt;20,1,0)</f>
        <v>1</v>
      </c>
      <c r="AA59">
        <f>IF(Summary!AK60&gt;20,1,0)</f>
        <v>1</v>
      </c>
      <c r="AB59">
        <f>IF(Summary!AL60&gt;20,1,0)</f>
        <v>1</v>
      </c>
      <c r="AC59">
        <f>IF(Summary!AM60&gt;20,1,0)</f>
        <v>1</v>
      </c>
      <c r="AD59">
        <f>IF(Summary!AN60&gt;20,1,0)</f>
        <v>1</v>
      </c>
      <c r="AE59">
        <f>IF(Summary!AO60&gt;20,1,0)</f>
        <v>1</v>
      </c>
      <c r="AF59">
        <f>IF(Summary!AP60&gt;20,1,0)</f>
        <v>1</v>
      </c>
      <c r="AG59">
        <f>IF(Summary!AQ60&gt;20,1,0)</f>
        <v>0</v>
      </c>
      <c r="AH59">
        <f>IF(Summary!AR60&gt;20,1,0)</f>
        <v>1</v>
      </c>
      <c r="AI59">
        <f>IF(Summary!AS60&gt;20,1,0)</f>
        <v>1</v>
      </c>
      <c r="AJ59">
        <f>IF(Summary!AT60&gt;20,1,0)</f>
        <v>1</v>
      </c>
      <c r="AK59">
        <f>IF(Summary!AU60&gt;20,1,0)</f>
        <v>1</v>
      </c>
      <c r="AL59">
        <f>IF(Summary!AV60&gt;20,1,0)</f>
        <v>1</v>
      </c>
      <c r="AM59">
        <f>IF(Summary!AW60&gt;20,1,0)</f>
        <v>1</v>
      </c>
      <c r="AO59">
        <v>58</v>
      </c>
      <c r="AP59">
        <f t="shared" si="2"/>
        <v>34</v>
      </c>
      <c r="AQ59">
        <f t="shared" si="3"/>
        <v>1494</v>
      </c>
      <c r="AS59">
        <f>B59*Summary!L60</f>
        <v>48</v>
      </c>
      <c r="AT59">
        <f>C59*Summary!M60</f>
        <v>44</v>
      </c>
      <c r="AU59">
        <f>D59*Summary!N60</f>
        <v>0</v>
      </c>
      <c r="AV59">
        <f>E59*Summary!O60</f>
        <v>47</v>
      </c>
      <c r="AW59">
        <f>F59*Summary!P60</f>
        <v>26</v>
      </c>
      <c r="AX59">
        <f>G59*Summary!Q60</f>
        <v>38</v>
      </c>
      <c r="AY59">
        <f>H59*Summary!R60</f>
        <v>44</v>
      </c>
      <c r="AZ59">
        <f>I59*Summary!S60</f>
        <v>0</v>
      </c>
      <c r="BA59">
        <f>J59*Summary!T60</f>
        <v>50</v>
      </c>
      <c r="BB59">
        <f>K59*Summary!U60</f>
        <v>39</v>
      </c>
      <c r="BC59">
        <f>L59*Summary!V60</f>
        <v>32</v>
      </c>
      <c r="BD59">
        <f>M59*Summary!W60</f>
        <v>45</v>
      </c>
      <c r="BE59">
        <f>N59*Summary!X60</f>
        <v>42</v>
      </c>
      <c r="BF59">
        <f>O59*Summary!Y60</f>
        <v>52</v>
      </c>
      <c r="BG59">
        <f>P59*Summary!Z60</f>
        <v>48</v>
      </c>
      <c r="BH59">
        <f>Q59*Summary!AA60</f>
        <v>0</v>
      </c>
      <c r="BI59">
        <f>R59*Summary!AB60</f>
        <v>46</v>
      </c>
      <c r="BJ59">
        <f>S59*Summary!AC60</f>
        <v>45</v>
      </c>
      <c r="BK59">
        <f>T59*Summary!AD60</f>
        <v>46</v>
      </c>
      <c r="BL59">
        <f>U59*Summary!AE60</f>
        <v>40</v>
      </c>
      <c r="BM59">
        <f>V59*Summary!AF60</f>
        <v>45</v>
      </c>
      <c r="BN59">
        <f>W59*Summary!AG60</f>
        <v>39</v>
      </c>
      <c r="BO59">
        <f>X59*Summary!AH60</f>
        <v>46</v>
      </c>
      <c r="BP59">
        <f>Y59*Summary!AI60</f>
        <v>49</v>
      </c>
      <c r="BQ59">
        <f>Z59*Summary!AJ60</f>
        <v>49</v>
      </c>
      <c r="BR59">
        <f>AA59*Summary!AK60</f>
        <v>38</v>
      </c>
      <c r="BS59">
        <f>AB59*Summary!AL60</f>
        <v>53</v>
      </c>
      <c r="BT59">
        <f>AC59*Summary!AM60</f>
        <v>44</v>
      </c>
      <c r="BU59">
        <f>AD59*Summary!AN60</f>
        <v>44</v>
      </c>
      <c r="BV59">
        <f>AE59*Summary!AO60</f>
        <v>48</v>
      </c>
      <c r="BW59">
        <f>AF59*Summary!AP60</f>
        <v>45</v>
      </c>
      <c r="BX59">
        <f>AG59*Summary!AQ60</f>
        <v>0</v>
      </c>
      <c r="BY59">
        <f>AH59*Summary!AR60</f>
        <v>45</v>
      </c>
      <c r="BZ59">
        <f>AI59*Summary!AS60</f>
        <v>50</v>
      </c>
      <c r="CA59">
        <f>AJ59*Summary!AT60</f>
        <v>46</v>
      </c>
      <c r="CB59">
        <f>AK59*Summary!AU60</f>
        <v>38</v>
      </c>
      <c r="CC59">
        <f>AL59*Summary!AV60</f>
        <v>39</v>
      </c>
      <c r="CD59">
        <f>AM59*Summary!AW60</f>
        <v>44</v>
      </c>
    </row>
    <row r="60" spans="1:82" x14ac:dyDescent="0.25">
      <c r="A60">
        <v>59</v>
      </c>
      <c r="B60">
        <f>IF(Summary!L61&gt;20,1,0)</f>
        <v>1</v>
      </c>
      <c r="C60">
        <f>IF(Summary!M61&gt;20,1,0)</f>
        <v>1</v>
      </c>
      <c r="D60">
        <f>IF(Summary!N61&gt;20,1,0)</f>
        <v>0</v>
      </c>
      <c r="E60">
        <f>IF(Summary!O61&gt;20,1,0)</f>
        <v>1</v>
      </c>
      <c r="F60">
        <f>IF(Summary!P61&gt;20,1,0)</f>
        <v>1</v>
      </c>
      <c r="G60">
        <f>IF(Summary!Q61&gt;20,1,0)</f>
        <v>1</v>
      </c>
      <c r="H60">
        <f>IF(Summary!R61&gt;20,1,0)</f>
        <v>1</v>
      </c>
      <c r="I60">
        <f>IF(Summary!S61&gt;20,1,0)</f>
        <v>0</v>
      </c>
      <c r="J60">
        <f>IF(Summary!T61&gt;20,1,0)</f>
        <v>1</v>
      </c>
      <c r="K60">
        <f>IF(Summary!U61&gt;20,1,0)</f>
        <v>1</v>
      </c>
      <c r="L60">
        <f>IF(Summary!V61&gt;20,1,0)</f>
        <v>1</v>
      </c>
      <c r="M60">
        <f>IF(Summary!W61&gt;20,1,0)</f>
        <v>1</v>
      </c>
      <c r="N60">
        <f>IF(Summary!X61&gt;20,1,0)</f>
        <v>1</v>
      </c>
      <c r="O60">
        <f>IF(Summary!Y61&gt;20,1,0)</f>
        <v>1</v>
      </c>
      <c r="P60">
        <f>IF(Summary!Z61&gt;20,1,0)</f>
        <v>1</v>
      </c>
      <c r="Q60">
        <f>IF(Summary!AA61&gt;20,1,0)</f>
        <v>0</v>
      </c>
      <c r="R60">
        <f>IF(Summary!AB61&gt;20,1,0)</f>
        <v>1</v>
      </c>
      <c r="S60">
        <f>IF(Summary!AC61&gt;20,1,0)</f>
        <v>1</v>
      </c>
      <c r="T60">
        <f>IF(Summary!AD61&gt;20,1,0)</f>
        <v>1</v>
      </c>
      <c r="U60">
        <f>IF(Summary!AE61&gt;20,1,0)</f>
        <v>1</v>
      </c>
      <c r="V60">
        <f>IF(Summary!AF61&gt;20,1,0)</f>
        <v>1</v>
      </c>
      <c r="W60">
        <f>IF(Summary!AG61&gt;20,1,0)</f>
        <v>1</v>
      </c>
      <c r="X60">
        <f>IF(Summary!AH61&gt;20,1,0)</f>
        <v>1</v>
      </c>
      <c r="Y60">
        <f>IF(Summary!AI61&gt;20,1,0)</f>
        <v>1</v>
      </c>
      <c r="Z60">
        <f>IF(Summary!AJ61&gt;20,1,0)</f>
        <v>1</v>
      </c>
      <c r="AA60">
        <f>IF(Summary!AK61&gt;20,1,0)</f>
        <v>1</v>
      </c>
      <c r="AB60">
        <f>IF(Summary!AL61&gt;20,1,0)</f>
        <v>1</v>
      </c>
      <c r="AC60">
        <f>IF(Summary!AM61&gt;20,1,0)</f>
        <v>1</v>
      </c>
      <c r="AD60">
        <f>IF(Summary!AN61&gt;20,1,0)</f>
        <v>1</v>
      </c>
      <c r="AE60">
        <f>IF(Summary!AO61&gt;20,1,0)</f>
        <v>1</v>
      </c>
      <c r="AF60">
        <f>IF(Summary!AP61&gt;20,1,0)</f>
        <v>1</v>
      </c>
      <c r="AG60">
        <f>IF(Summary!AQ61&gt;20,1,0)</f>
        <v>0</v>
      </c>
      <c r="AH60">
        <f>IF(Summary!AR61&gt;20,1,0)</f>
        <v>1</v>
      </c>
      <c r="AI60">
        <f>IF(Summary!AS61&gt;20,1,0)</f>
        <v>1</v>
      </c>
      <c r="AJ60">
        <f>IF(Summary!AT61&gt;20,1,0)</f>
        <v>1</v>
      </c>
      <c r="AK60">
        <f>IF(Summary!AU61&gt;20,1,0)</f>
        <v>1</v>
      </c>
      <c r="AL60">
        <f>IF(Summary!AV61&gt;20,1,0)</f>
        <v>1</v>
      </c>
      <c r="AM60">
        <f>IF(Summary!AW61&gt;20,1,0)</f>
        <v>1</v>
      </c>
      <c r="AO60">
        <v>59</v>
      </c>
      <c r="AP60">
        <f t="shared" si="2"/>
        <v>34</v>
      </c>
      <c r="AQ60">
        <f t="shared" si="3"/>
        <v>1615</v>
      </c>
      <c r="AS60">
        <f>B60*Summary!L61</f>
        <v>55</v>
      </c>
      <c r="AT60">
        <f>C60*Summary!M61</f>
        <v>49</v>
      </c>
      <c r="AU60">
        <f>D60*Summary!N61</f>
        <v>0</v>
      </c>
      <c r="AV60">
        <f>E60*Summary!O61</f>
        <v>48</v>
      </c>
      <c r="AW60">
        <f>F60*Summary!P61</f>
        <v>24</v>
      </c>
      <c r="AX60">
        <f>G60*Summary!Q61</f>
        <v>50</v>
      </c>
      <c r="AY60">
        <f>H60*Summary!R61</f>
        <v>52</v>
      </c>
      <c r="AZ60">
        <f>I60*Summary!S61</f>
        <v>0</v>
      </c>
      <c r="BA60">
        <f>J60*Summary!T61</f>
        <v>53</v>
      </c>
      <c r="BB60">
        <f>K60*Summary!U61</f>
        <v>42</v>
      </c>
      <c r="BC60">
        <f>L60*Summary!V61</f>
        <v>39</v>
      </c>
      <c r="BD60">
        <f>M60*Summary!W61</f>
        <v>45</v>
      </c>
      <c r="BE60">
        <f>N60*Summary!X61</f>
        <v>47</v>
      </c>
      <c r="BF60">
        <f>O60*Summary!Y61</f>
        <v>50</v>
      </c>
      <c r="BG60">
        <f>P60*Summary!Z61</f>
        <v>51</v>
      </c>
      <c r="BH60">
        <f>Q60*Summary!AA61</f>
        <v>0</v>
      </c>
      <c r="BI60">
        <f>R60*Summary!AB61</f>
        <v>54</v>
      </c>
      <c r="BJ60">
        <f>S60*Summary!AC61</f>
        <v>49</v>
      </c>
      <c r="BK60">
        <f>T60*Summary!AD61</f>
        <v>48</v>
      </c>
      <c r="BL60">
        <f>U60*Summary!AE61</f>
        <v>41</v>
      </c>
      <c r="BM60">
        <f>V60*Summary!AF61</f>
        <v>47</v>
      </c>
      <c r="BN60">
        <f>W60*Summary!AG61</f>
        <v>48</v>
      </c>
      <c r="BO60">
        <f>X60*Summary!AH61</f>
        <v>49</v>
      </c>
      <c r="BP60">
        <f>Y60*Summary!AI61</f>
        <v>48</v>
      </c>
      <c r="BQ60">
        <f>Z60*Summary!AJ61</f>
        <v>53</v>
      </c>
      <c r="BR60">
        <f>AA60*Summary!AK61</f>
        <v>52</v>
      </c>
      <c r="BS60">
        <f>AB60*Summary!AL61</f>
        <v>50</v>
      </c>
      <c r="BT60">
        <f>AC60*Summary!AM61</f>
        <v>44</v>
      </c>
      <c r="BU60">
        <f>AD60*Summary!AN61</f>
        <v>50</v>
      </c>
      <c r="BV60">
        <f>AE60*Summary!AO61</f>
        <v>44</v>
      </c>
      <c r="BW60">
        <f>AF60*Summary!AP61</f>
        <v>48</v>
      </c>
      <c r="BX60">
        <f>AG60*Summary!AQ61</f>
        <v>0</v>
      </c>
      <c r="BY60">
        <f>AH60*Summary!AR61</f>
        <v>43</v>
      </c>
      <c r="BZ60">
        <f>AI60*Summary!AS61</f>
        <v>42</v>
      </c>
      <c r="CA60">
        <f>AJ60*Summary!AT61</f>
        <v>49</v>
      </c>
      <c r="CB60">
        <f>AK60*Summary!AU61</f>
        <v>53</v>
      </c>
      <c r="CC60">
        <f>AL60*Summary!AV61</f>
        <v>51</v>
      </c>
      <c r="CD60">
        <f>AM60*Summary!AW61</f>
        <v>47</v>
      </c>
    </row>
    <row r="61" spans="1:82" x14ac:dyDescent="0.25">
      <c r="A61">
        <v>60</v>
      </c>
      <c r="B61">
        <f>IF(Summary!L62&gt;20,1,0)</f>
        <v>1</v>
      </c>
      <c r="C61">
        <f>IF(Summary!M62&gt;20,1,0)</f>
        <v>1</v>
      </c>
      <c r="D61">
        <f>IF(Summary!N62&gt;20,1,0)</f>
        <v>0</v>
      </c>
      <c r="E61">
        <f>IF(Summary!O62&gt;20,1,0)</f>
        <v>1</v>
      </c>
      <c r="F61">
        <f>IF(Summary!P62&gt;20,1,0)</f>
        <v>1</v>
      </c>
      <c r="G61">
        <f>IF(Summary!Q62&gt;20,1,0)</f>
        <v>1</v>
      </c>
      <c r="H61">
        <f>IF(Summary!R62&gt;20,1,0)</f>
        <v>1</v>
      </c>
      <c r="I61">
        <f>IF(Summary!S62&gt;20,1,0)</f>
        <v>0</v>
      </c>
      <c r="J61">
        <f>IF(Summary!T62&gt;20,1,0)</f>
        <v>1</v>
      </c>
      <c r="K61">
        <f>IF(Summary!U62&gt;20,1,0)</f>
        <v>1</v>
      </c>
      <c r="L61">
        <f>IF(Summary!V62&gt;20,1,0)</f>
        <v>1</v>
      </c>
      <c r="M61">
        <f>IF(Summary!W62&gt;20,1,0)</f>
        <v>1</v>
      </c>
      <c r="N61">
        <f>IF(Summary!X62&gt;20,1,0)</f>
        <v>1</v>
      </c>
      <c r="O61">
        <f>IF(Summary!Y62&gt;20,1,0)</f>
        <v>1</v>
      </c>
      <c r="P61">
        <f>IF(Summary!Z62&gt;20,1,0)</f>
        <v>1</v>
      </c>
      <c r="Q61">
        <f>IF(Summary!AA62&gt;20,1,0)</f>
        <v>0</v>
      </c>
      <c r="R61">
        <f>IF(Summary!AB62&gt;20,1,0)</f>
        <v>1</v>
      </c>
      <c r="S61">
        <f>IF(Summary!AC62&gt;20,1,0)</f>
        <v>1</v>
      </c>
      <c r="T61">
        <f>IF(Summary!AD62&gt;20,1,0)</f>
        <v>1</v>
      </c>
      <c r="U61">
        <f>IF(Summary!AE62&gt;20,1,0)</f>
        <v>1</v>
      </c>
      <c r="V61">
        <f>IF(Summary!AF62&gt;20,1,0)</f>
        <v>1</v>
      </c>
      <c r="W61">
        <f>IF(Summary!AG62&gt;20,1,0)</f>
        <v>1</v>
      </c>
      <c r="X61">
        <f>IF(Summary!AH62&gt;20,1,0)</f>
        <v>1</v>
      </c>
      <c r="Y61">
        <f>IF(Summary!AI62&gt;20,1,0)</f>
        <v>1</v>
      </c>
      <c r="Z61">
        <f>IF(Summary!AJ62&gt;20,1,0)</f>
        <v>1</v>
      </c>
      <c r="AA61">
        <f>IF(Summary!AK62&gt;20,1,0)</f>
        <v>1</v>
      </c>
      <c r="AB61">
        <f>IF(Summary!AL62&gt;20,1,0)</f>
        <v>1</v>
      </c>
      <c r="AC61">
        <f>IF(Summary!AM62&gt;20,1,0)</f>
        <v>1</v>
      </c>
      <c r="AD61">
        <f>IF(Summary!AN62&gt;20,1,0)</f>
        <v>1</v>
      </c>
      <c r="AE61">
        <f>IF(Summary!AO62&gt;20,1,0)</f>
        <v>1</v>
      </c>
      <c r="AF61">
        <f>IF(Summary!AP62&gt;20,1,0)</f>
        <v>1</v>
      </c>
      <c r="AG61">
        <f>IF(Summary!AQ62&gt;20,1,0)</f>
        <v>0</v>
      </c>
      <c r="AH61">
        <f>IF(Summary!AR62&gt;20,1,0)</f>
        <v>1</v>
      </c>
      <c r="AI61">
        <f>IF(Summary!AS62&gt;20,1,0)</f>
        <v>1</v>
      </c>
      <c r="AJ61">
        <f>IF(Summary!AT62&gt;20,1,0)</f>
        <v>1</v>
      </c>
      <c r="AK61">
        <f>IF(Summary!AU62&gt;20,1,0)</f>
        <v>1</v>
      </c>
      <c r="AL61">
        <f>IF(Summary!AV62&gt;20,1,0)</f>
        <v>1</v>
      </c>
      <c r="AM61">
        <f>IF(Summary!AW62&gt;20,1,0)</f>
        <v>1</v>
      </c>
      <c r="AO61">
        <v>60</v>
      </c>
      <c r="AP61">
        <f t="shared" si="2"/>
        <v>34</v>
      </c>
      <c r="AQ61">
        <f t="shared" si="3"/>
        <v>1534</v>
      </c>
      <c r="AS61">
        <f>B61*Summary!L62</f>
        <v>57</v>
      </c>
      <c r="AT61">
        <f>C61*Summary!M62</f>
        <v>36</v>
      </c>
      <c r="AU61">
        <f>D61*Summary!N62</f>
        <v>0</v>
      </c>
      <c r="AV61">
        <f>E61*Summary!O62</f>
        <v>47</v>
      </c>
      <c r="AW61">
        <f>F61*Summary!P62</f>
        <v>25</v>
      </c>
      <c r="AX61">
        <f>G61*Summary!Q62</f>
        <v>39</v>
      </c>
      <c r="AY61">
        <f>H61*Summary!R62</f>
        <v>45</v>
      </c>
      <c r="AZ61">
        <f>I61*Summary!S62</f>
        <v>0</v>
      </c>
      <c r="BA61">
        <f>J61*Summary!T62</f>
        <v>56</v>
      </c>
      <c r="BB61">
        <f>K61*Summary!U62</f>
        <v>43</v>
      </c>
      <c r="BC61">
        <f>L61*Summary!V62</f>
        <v>34</v>
      </c>
      <c r="BD61">
        <f>M61*Summary!W62</f>
        <v>45</v>
      </c>
      <c r="BE61">
        <f>N61*Summary!X62</f>
        <v>42</v>
      </c>
      <c r="BF61">
        <f>O61*Summary!Y62</f>
        <v>48</v>
      </c>
      <c r="BG61">
        <f>P61*Summary!Z62</f>
        <v>48</v>
      </c>
      <c r="BH61">
        <f>Q61*Summary!AA62</f>
        <v>0</v>
      </c>
      <c r="BI61">
        <f>R61*Summary!AB62</f>
        <v>52</v>
      </c>
      <c r="BJ61">
        <f>S61*Summary!AC62</f>
        <v>49</v>
      </c>
      <c r="BK61">
        <f>T61*Summary!AD62</f>
        <v>49</v>
      </c>
      <c r="BL61">
        <f>U61*Summary!AE62</f>
        <v>44</v>
      </c>
      <c r="BM61">
        <f>V61*Summary!AF62</f>
        <v>42</v>
      </c>
      <c r="BN61">
        <f>W61*Summary!AG62</f>
        <v>35</v>
      </c>
      <c r="BO61">
        <f>X61*Summary!AH62</f>
        <v>46</v>
      </c>
      <c r="BP61">
        <f>Y61*Summary!AI62</f>
        <v>49</v>
      </c>
      <c r="BQ61">
        <f>Z61*Summary!AJ62</f>
        <v>52</v>
      </c>
      <c r="BR61">
        <f>AA61*Summary!AK62</f>
        <v>35</v>
      </c>
      <c r="BS61">
        <f>AB61*Summary!AL62</f>
        <v>55</v>
      </c>
      <c r="BT61">
        <f>AC61*Summary!AM62</f>
        <v>45</v>
      </c>
      <c r="BU61">
        <f>AD61*Summary!AN62</f>
        <v>50</v>
      </c>
      <c r="BV61">
        <f>AE61*Summary!AO62</f>
        <v>47</v>
      </c>
      <c r="BW61">
        <f>AF61*Summary!AP62</f>
        <v>39</v>
      </c>
      <c r="BX61">
        <f>AG61*Summary!AQ62</f>
        <v>0</v>
      </c>
      <c r="BY61">
        <f>AH61*Summary!AR62</f>
        <v>46</v>
      </c>
      <c r="BZ61">
        <f>AI61*Summary!AS62</f>
        <v>50</v>
      </c>
      <c r="CA61">
        <f>AJ61*Summary!AT62</f>
        <v>47</v>
      </c>
      <c r="CB61">
        <f>AK61*Summary!AU62</f>
        <v>53</v>
      </c>
      <c r="CC61">
        <f>AL61*Summary!AV62</f>
        <v>44</v>
      </c>
      <c r="CD61">
        <f>AM61*Summary!AW62</f>
        <v>40</v>
      </c>
    </row>
    <row r="63" spans="1:82" x14ac:dyDescent="0.25">
      <c r="AO63" t="s">
        <v>109</v>
      </c>
      <c r="AP63">
        <f>SUM(Tabla6[Total Participantes])</f>
        <v>2079</v>
      </c>
      <c r="AQ63">
        <f>SUM(Tabla6[Total Muestras])</f>
        <v>94573</v>
      </c>
    </row>
    <row r="64" spans="1:82" x14ac:dyDescent="0.25">
      <c r="AQ64">
        <f>AVERAGE(Tabla6[Total Muestras])</f>
        <v>1576.2166666666667</v>
      </c>
    </row>
    <row r="65" spans="43:43" x14ac:dyDescent="0.25">
      <c r="AQ65">
        <f>MEDIAN(Tabla6[Total Muestras])</f>
        <v>1579.5</v>
      </c>
    </row>
    <row r="66" spans="43:43" x14ac:dyDescent="0.25">
      <c r="AQ66">
        <f>MIN(Tabla6[Total Muestras])</f>
        <v>1443</v>
      </c>
    </row>
    <row r="67" spans="43:43" x14ac:dyDescent="0.25">
      <c r="AQ67">
        <f>MAX(Tabla6[Total Muestras])</f>
        <v>1709</v>
      </c>
    </row>
  </sheetData>
  <conditionalFormatting sqref="B2:AM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75EC-8C7D-4516-BF46-CCF6F171D3BD}">
  <dimension ref="A1:J51"/>
  <sheetViews>
    <sheetView topLeftCell="A3" zoomScaleNormal="100" workbookViewId="0">
      <selection activeCell="E45" sqref="E45"/>
    </sheetView>
  </sheetViews>
  <sheetFormatPr baseColWidth="10" defaultRowHeight="15" x14ac:dyDescent="0.25"/>
  <cols>
    <col min="1" max="1" width="12.7109375" customWidth="1"/>
    <col min="2" max="2" width="16.28515625" customWidth="1"/>
    <col min="3" max="3" width="25.7109375" customWidth="1"/>
    <col min="4" max="4" width="25.85546875" customWidth="1"/>
    <col min="5" max="5" width="18.5703125" customWidth="1"/>
    <col min="6" max="6" width="19.7109375" customWidth="1"/>
    <col min="7" max="7" width="16.28515625" customWidth="1"/>
  </cols>
  <sheetData>
    <row r="1" spans="1:10" ht="15.75" thickBot="1" x14ac:dyDescent="0.3">
      <c r="A1" s="31" t="s">
        <v>0</v>
      </c>
      <c r="B1" s="18" t="s">
        <v>1</v>
      </c>
      <c r="C1" s="18" t="s">
        <v>124</v>
      </c>
      <c r="D1" s="18" t="s">
        <v>125</v>
      </c>
      <c r="E1" s="18" t="s">
        <v>137</v>
      </c>
      <c r="F1" s="18" t="s">
        <v>131</v>
      </c>
      <c r="G1" s="6" t="s">
        <v>126</v>
      </c>
    </row>
    <row r="2" spans="1:10" ht="16.5" thickTop="1" thickBot="1" x14ac:dyDescent="0.3">
      <c r="A2" s="38" t="s">
        <v>71</v>
      </c>
      <c r="B2" s="23">
        <v>3196</v>
      </c>
      <c r="C2" s="32">
        <v>53.266666666666666</v>
      </c>
      <c r="D2" s="19">
        <v>60</v>
      </c>
      <c r="E2" s="36">
        <v>3196</v>
      </c>
      <c r="F2" s="20">
        <v>53.266666666666666</v>
      </c>
      <c r="G2" s="33">
        <f t="shared" ref="G2:G39" si="0">(D2/60)</f>
        <v>1</v>
      </c>
    </row>
    <row r="3" spans="1:10" ht="16.5" thickTop="1" thickBot="1" x14ac:dyDescent="0.3">
      <c r="A3" s="26" t="s">
        <v>63</v>
      </c>
      <c r="B3" s="23">
        <v>3145</v>
      </c>
      <c r="C3" s="32">
        <v>52.416666666666664</v>
      </c>
      <c r="D3" s="19">
        <v>60</v>
      </c>
      <c r="E3" s="36">
        <v>3145</v>
      </c>
      <c r="F3" s="20">
        <v>52.416666666666664</v>
      </c>
      <c r="G3" s="35">
        <f t="shared" si="0"/>
        <v>1</v>
      </c>
      <c r="I3" s="16">
        <f>SUM(G2:G39)/38</f>
        <v>0.91184210526315801</v>
      </c>
      <c r="J3" s="7"/>
    </row>
    <row r="4" spans="1:10" ht="16.5" thickTop="1" thickBot="1" x14ac:dyDescent="0.3">
      <c r="A4" s="24" t="s">
        <v>89</v>
      </c>
      <c r="B4" s="23">
        <v>3040</v>
      </c>
      <c r="C4" s="32">
        <v>50.666666666666664</v>
      </c>
      <c r="D4" s="19">
        <v>60</v>
      </c>
      <c r="E4" s="36">
        <v>3040</v>
      </c>
      <c r="F4" s="20">
        <v>50.666666666666664</v>
      </c>
      <c r="G4" s="35">
        <f t="shared" si="0"/>
        <v>1</v>
      </c>
      <c r="I4" s="8" t="s">
        <v>128</v>
      </c>
      <c r="J4" s="9"/>
    </row>
    <row r="5" spans="1:10" ht="16.5" thickTop="1" thickBot="1" x14ac:dyDescent="0.3">
      <c r="A5" s="26" t="s">
        <v>77</v>
      </c>
      <c r="B5" s="23">
        <v>3028</v>
      </c>
      <c r="C5" s="32">
        <v>50.466666666666669</v>
      </c>
      <c r="D5" s="19">
        <v>60</v>
      </c>
      <c r="E5" s="36">
        <v>3028</v>
      </c>
      <c r="F5" s="20">
        <v>50.466666666666669</v>
      </c>
      <c r="G5" s="35">
        <f t="shared" si="0"/>
        <v>1</v>
      </c>
      <c r="I5" s="10"/>
      <c r="J5" s="9"/>
    </row>
    <row r="6" spans="1:10" ht="16.5" thickTop="1" thickBot="1" x14ac:dyDescent="0.3">
      <c r="A6" s="24" t="s">
        <v>79</v>
      </c>
      <c r="B6" s="23">
        <v>2992</v>
      </c>
      <c r="C6" s="32">
        <v>49.866666666666667</v>
      </c>
      <c r="D6" s="19">
        <v>60</v>
      </c>
      <c r="E6" s="36">
        <v>2992</v>
      </c>
      <c r="F6" s="20">
        <v>49.866666666666667</v>
      </c>
      <c r="G6" s="35">
        <f t="shared" si="0"/>
        <v>1</v>
      </c>
      <c r="I6" s="14">
        <f>SUM(D3:D39)</f>
        <v>2019</v>
      </c>
      <c r="J6" s="11"/>
    </row>
    <row r="7" spans="1:10" ht="16.5" thickTop="1" thickBot="1" x14ac:dyDescent="0.3">
      <c r="A7" s="26" t="s">
        <v>69</v>
      </c>
      <c r="B7" s="23">
        <v>2961</v>
      </c>
      <c r="C7" s="32">
        <v>49.35</v>
      </c>
      <c r="D7" s="19">
        <v>60</v>
      </c>
      <c r="E7" s="36">
        <v>2961</v>
      </c>
      <c r="F7" s="20">
        <v>49.35</v>
      </c>
      <c r="G7" s="35">
        <f t="shared" si="0"/>
        <v>1</v>
      </c>
      <c r="I7" s="13" t="s">
        <v>129</v>
      </c>
      <c r="J7" s="11"/>
    </row>
    <row r="8" spans="1:10" ht="16.5" thickTop="1" thickBot="1" x14ac:dyDescent="0.3">
      <c r="A8" s="24" t="s">
        <v>66</v>
      </c>
      <c r="B8" s="23">
        <v>2954</v>
      </c>
      <c r="C8" s="32">
        <v>49.233333333333334</v>
      </c>
      <c r="D8" s="19">
        <v>60</v>
      </c>
      <c r="E8" s="36">
        <v>2954</v>
      </c>
      <c r="F8" s="20">
        <v>49.233333333333334</v>
      </c>
      <c r="G8" s="34">
        <f t="shared" si="0"/>
        <v>1</v>
      </c>
      <c r="I8" s="15">
        <f>38*60</f>
        <v>2280</v>
      </c>
      <c r="J8" s="12" t="s">
        <v>130</v>
      </c>
    </row>
    <row r="9" spans="1:10" ht="16.5" thickTop="1" thickBot="1" x14ac:dyDescent="0.3">
      <c r="A9" s="26" t="s">
        <v>95</v>
      </c>
      <c r="B9" s="23">
        <v>2938</v>
      </c>
      <c r="C9" s="32">
        <v>48.966666666666669</v>
      </c>
      <c r="D9" s="19">
        <v>60</v>
      </c>
      <c r="E9" s="36">
        <v>2938</v>
      </c>
      <c r="F9" s="20">
        <v>48.966666666666669</v>
      </c>
      <c r="G9" s="35">
        <f t="shared" si="0"/>
        <v>1</v>
      </c>
    </row>
    <row r="10" spans="1:10" ht="16.5" thickTop="1" thickBot="1" x14ac:dyDescent="0.3">
      <c r="A10" s="26" t="s">
        <v>85</v>
      </c>
      <c r="B10" s="23">
        <v>2920</v>
      </c>
      <c r="C10" s="32">
        <v>48.666666666666664</v>
      </c>
      <c r="D10" s="19">
        <v>60</v>
      </c>
      <c r="E10" s="36">
        <v>2920</v>
      </c>
      <c r="F10" s="20">
        <v>48.666666666666664</v>
      </c>
      <c r="G10" s="35">
        <f t="shared" si="0"/>
        <v>1</v>
      </c>
    </row>
    <row r="11" spans="1:10" ht="16.5" thickTop="1" thickBot="1" x14ac:dyDescent="0.3">
      <c r="A11" s="26" t="s">
        <v>97</v>
      </c>
      <c r="B11" s="23">
        <v>2916</v>
      </c>
      <c r="C11" s="32">
        <v>48.6</v>
      </c>
      <c r="D11" s="19">
        <v>60</v>
      </c>
      <c r="E11" s="36">
        <v>2916</v>
      </c>
      <c r="F11" s="20">
        <v>48.6</v>
      </c>
      <c r="G11" s="35">
        <f t="shared" si="0"/>
        <v>1</v>
      </c>
    </row>
    <row r="12" spans="1:10" ht="16.5" thickTop="1" thickBot="1" x14ac:dyDescent="0.3">
      <c r="A12" s="24" t="s">
        <v>76</v>
      </c>
      <c r="B12" s="23">
        <v>2915</v>
      </c>
      <c r="C12" s="32">
        <v>48.583333333333336</v>
      </c>
      <c r="D12" s="19">
        <v>60</v>
      </c>
      <c r="E12" s="36">
        <v>2915</v>
      </c>
      <c r="F12" s="20">
        <v>48.583333333333336</v>
      </c>
      <c r="G12" s="34">
        <f t="shared" si="0"/>
        <v>1</v>
      </c>
    </row>
    <row r="13" spans="1:10" ht="16.5" thickTop="1" thickBot="1" x14ac:dyDescent="0.3">
      <c r="A13" s="24" t="s">
        <v>91</v>
      </c>
      <c r="B13" s="23">
        <v>2907</v>
      </c>
      <c r="C13" s="32">
        <v>48.45</v>
      </c>
      <c r="D13" s="19">
        <v>60</v>
      </c>
      <c r="E13" s="36">
        <v>2907</v>
      </c>
      <c r="F13" s="20">
        <v>48.45</v>
      </c>
      <c r="G13" s="35">
        <f t="shared" si="0"/>
        <v>1</v>
      </c>
    </row>
    <row r="14" spans="1:10" ht="16.5" thickTop="1" thickBot="1" x14ac:dyDescent="0.3">
      <c r="A14" s="24" t="s">
        <v>87</v>
      </c>
      <c r="B14" s="23">
        <v>2853</v>
      </c>
      <c r="C14" s="32">
        <v>47.55</v>
      </c>
      <c r="D14" s="19">
        <v>60</v>
      </c>
      <c r="E14" s="36">
        <v>2853</v>
      </c>
      <c r="F14" s="20">
        <v>47.55</v>
      </c>
      <c r="G14" s="35">
        <f t="shared" si="0"/>
        <v>1</v>
      </c>
    </row>
    <row r="15" spans="1:10" ht="16.5" thickTop="1" thickBot="1" x14ac:dyDescent="0.3">
      <c r="A15" s="26" t="s">
        <v>92</v>
      </c>
      <c r="B15" s="23">
        <v>2844</v>
      </c>
      <c r="C15" s="32">
        <v>47.4</v>
      </c>
      <c r="D15" s="19">
        <v>60</v>
      </c>
      <c r="E15" s="36">
        <v>2844</v>
      </c>
      <c r="F15" s="20">
        <v>47.4</v>
      </c>
      <c r="G15" s="34">
        <f t="shared" si="0"/>
        <v>1</v>
      </c>
    </row>
    <row r="16" spans="1:10" ht="16.5" thickTop="1" thickBot="1" x14ac:dyDescent="0.3">
      <c r="A16" s="24" t="s">
        <v>81</v>
      </c>
      <c r="B16" s="23">
        <v>2826</v>
      </c>
      <c r="C16" s="32">
        <v>47.1</v>
      </c>
      <c r="D16" s="19">
        <v>60</v>
      </c>
      <c r="E16" s="36">
        <v>2826</v>
      </c>
      <c r="F16" s="20">
        <v>47.1</v>
      </c>
      <c r="G16" s="35">
        <f t="shared" si="0"/>
        <v>1</v>
      </c>
    </row>
    <row r="17" spans="1:7" ht="16.5" thickTop="1" thickBot="1" x14ac:dyDescent="0.3">
      <c r="A17" s="26" t="s">
        <v>74</v>
      </c>
      <c r="B17" s="23">
        <v>2772</v>
      </c>
      <c r="C17" s="32">
        <v>46.2</v>
      </c>
      <c r="D17" s="19">
        <v>60</v>
      </c>
      <c r="E17" s="36">
        <v>2772</v>
      </c>
      <c r="F17" s="20">
        <v>46.2</v>
      </c>
      <c r="G17" s="34">
        <f t="shared" si="0"/>
        <v>1</v>
      </c>
    </row>
    <row r="18" spans="1:7" ht="16.5" thickTop="1" thickBot="1" x14ac:dyDescent="0.3">
      <c r="A18" s="26" t="s">
        <v>96</v>
      </c>
      <c r="B18" s="23">
        <v>2769</v>
      </c>
      <c r="C18" s="32">
        <v>46.15</v>
      </c>
      <c r="D18" s="19">
        <v>60</v>
      </c>
      <c r="E18" s="36">
        <v>2769</v>
      </c>
      <c r="F18" s="20">
        <v>46.15</v>
      </c>
      <c r="G18" s="34">
        <f t="shared" si="0"/>
        <v>1</v>
      </c>
    </row>
    <row r="19" spans="1:7" ht="16.5" thickTop="1" thickBot="1" x14ac:dyDescent="0.3">
      <c r="A19" s="24" t="s">
        <v>86</v>
      </c>
      <c r="B19" s="23">
        <v>2759</v>
      </c>
      <c r="C19" s="32">
        <v>45.983333333333334</v>
      </c>
      <c r="D19" s="19">
        <v>60</v>
      </c>
      <c r="E19" s="36">
        <v>2759</v>
      </c>
      <c r="F19" s="20">
        <v>45.983333333333334</v>
      </c>
      <c r="G19" s="34">
        <f t="shared" si="0"/>
        <v>1</v>
      </c>
    </row>
    <row r="20" spans="1:7" ht="16.5" thickTop="1" thickBot="1" x14ac:dyDescent="0.3">
      <c r="A20" s="26" t="s">
        <v>100</v>
      </c>
      <c r="B20" s="23">
        <v>2752</v>
      </c>
      <c r="C20" s="32">
        <v>45.866666666666667</v>
      </c>
      <c r="D20" s="19">
        <v>60</v>
      </c>
      <c r="E20" s="36">
        <v>2752</v>
      </c>
      <c r="F20" s="20">
        <v>45.866666666666667</v>
      </c>
      <c r="G20" s="34">
        <f t="shared" si="0"/>
        <v>1</v>
      </c>
    </row>
    <row r="21" spans="1:7" ht="16.5" thickTop="1" thickBot="1" x14ac:dyDescent="0.3">
      <c r="A21" s="24" t="s">
        <v>88</v>
      </c>
      <c r="B21" s="23">
        <v>2734</v>
      </c>
      <c r="C21" s="32">
        <v>45.56666666666667</v>
      </c>
      <c r="D21" s="19">
        <v>60</v>
      </c>
      <c r="E21" s="36">
        <v>2734</v>
      </c>
      <c r="F21" s="20">
        <v>45.56666666666667</v>
      </c>
      <c r="G21" s="34">
        <f t="shared" si="0"/>
        <v>1</v>
      </c>
    </row>
    <row r="22" spans="1:7" ht="16.5" thickTop="1" thickBot="1" x14ac:dyDescent="0.3">
      <c r="A22" s="24" t="s">
        <v>93</v>
      </c>
      <c r="B22" s="23">
        <v>2719</v>
      </c>
      <c r="C22" s="32">
        <v>45.31666666666667</v>
      </c>
      <c r="D22" s="19">
        <v>60</v>
      </c>
      <c r="E22" s="36">
        <v>2719</v>
      </c>
      <c r="F22" s="20">
        <v>45.31666666666667</v>
      </c>
      <c r="G22" s="35">
        <f t="shared" si="0"/>
        <v>1</v>
      </c>
    </row>
    <row r="23" spans="1:7" ht="16.5" thickTop="1" thickBot="1" x14ac:dyDescent="0.3">
      <c r="A23" s="26" t="s">
        <v>90</v>
      </c>
      <c r="B23" s="23">
        <v>2678</v>
      </c>
      <c r="C23" s="32">
        <v>44.633333333333333</v>
      </c>
      <c r="D23" s="19">
        <v>60</v>
      </c>
      <c r="E23" s="36">
        <v>2678</v>
      </c>
      <c r="F23" s="20">
        <v>44.633333333333333</v>
      </c>
      <c r="G23" s="34">
        <f t="shared" si="0"/>
        <v>1</v>
      </c>
    </row>
    <row r="24" spans="1:7" ht="16.5" thickTop="1" thickBot="1" x14ac:dyDescent="0.3">
      <c r="A24" s="24" t="s">
        <v>99</v>
      </c>
      <c r="B24" s="23">
        <v>2667</v>
      </c>
      <c r="C24" s="32">
        <v>44.45</v>
      </c>
      <c r="D24" s="19">
        <v>60</v>
      </c>
      <c r="E24" s="36">
        <v>2667</v>
      </c>
      <c r="F24" s="20">
        <v>44.45</v>
      </c>
      <c r="G24" s="35">
        <f t="shared" si="0"/>
        <v>1</v>
      </c>
    </row>
    <row r="25" spans="1:7" ht="16.5" thickTop="1" thickBot="1" x14ac:dyDescent="0.3">
      <c r="A25" s="26" t="s">
        <v>83</v>
      </c>
      <c r="B25" s="23">
        <v>2665</v>
      </c>
      <c r="C25" s="32">
        <v>44.416666666666664</v>
      </c>
      <c r="D25" s="19">
        <v>60</v>
      </c>
      <c r="E25" s="36">
        <v>2665</v>
      </c>
      <c r="F25" s="20">
        <v>44.416666666666664</v>
      </c>
      <c r="G25" s="35">
        <f t="shared" si="0"/>
        <v>1</v>
      </c>
    </row>
    <row r="26" spans="1:7" ht="16.5" thickTop="1" thickBot="1" x14ac:dyDescent="0.3">
      <c r="A26" s="24" t="s">
        <v>72</v>
      </c>
      <c r="B26" s="23">
        <v>2653</v>
      </c>
      <c r="C26" s="32">
        <v>44.216666666666669</v>
      </c>
      <c r="D26" s="19">
        <v>60</v>
      </c>
      <c r="E26" s="36">
        <v>2653</v>
      </c>
      <c r="F26" s="20">
        <v>44.216666666666669</v>
      </c>
      <c r="G26" s="34">
        <f t="shared" si="0"/>
        <v>1</v>
      </c>
    </row>
    <row r="27" spans="1:7" ht="16.5" thickTop="1" thickBot="1" x14ac:dyDescent="0.3">
      <c r="A27" s="26" t="s">
        <v>84</v>
      </c>
      <c r="B27" s="23">
        <v>2583</v>
      </c>
      <c r="C27" s="32">
        <v>43.05</v>
      </c>
      <c r="D27" s="19">
        <v>59</v>
      </c>
      <c r="E27" s="36">
        <v>2563</v>
      </c>
      <c r="F27" s="20">
        <v>42.716666666666669</v>
      </c>
      <c r="G27" s="34">
        <f t="shared" si="0"/>
        <v>0.98333333333333328</v>
      </c>
    </row>
    <row r="28" spans="1:7" ht="16.5" thickTop="1" thickBot="1" x14ac:dyDescent="0.3">
      <c r="A28" s="24" t="s">
        <v>82</v>
      </c>
      <c r="B28" s="23">
        <v>2553</v>
      </c>
      <c r="C28" s="32">
        <v>42.55</v>
      </c>
      <c r="D28" s="19">
        <v>60</v>
      </c>
      <c r="E28" s="36">
        <v>2553</v>
      </c>
      <c r="F28" s="20">
        <v>42.55</v>
      </c>
      <c r="G28" s="34">
        <f t="shared" si="0"/>
        <v>1</v>
      </c>
    </row>
    <row r="29" spans="1:7" ht="16.5" thickTop="1" thickBot="1" x14ac:dyDescent="0.3">
      <c r="A29" s="26" t="s">
        <v>75</v>
      </c>
      <c r="B29" s="23">
        <v>2531</v>
      </c>
      <c r="C29" s="32">
        <v>42.18333333333333</v>
      </c>
      <c r="D29" s="19">
        <v>60</v>
      </c>
      <c r="E29" s="36">
        <v>2531</v>
      </c>
      <c r="F29" s="20">
        <v>42.18333333333333</v>
      </c>
      <c r="G29" s="35">
        <f t="shared" si="0"/>
        <v>1</v>
      </c>
    </row>
    <row r="30" spans="1:7" ht="16.5" thickTop="1" thickBot="1" x14ac:dyDescent="0.3">
      <c r="A30" s="26" t="s">
        <v>68</v>
      </c>
      <c r="B30" s="23">
        <v>2467</v>
      </c>
      <c r="C30" s="32">
        <v>41.116666666666667</v>
      </c>
      <c r="D30" s="19">
        <v>60</v>
      </c>
      <c r="E30" s="36">
        <v>2467</v>
      </c>
      <c r="F30" s="20">
        <v>41.116666666666667</v>
      </c>
      <c r="G30" s="34">
        <f t="shared" si="0"/>
        <v>1</v>
      </c>
    </row>
    <row r="31" spans="1:7" ht="16.5" thickTop="1" thickBot="1" x14ac:dyDescent="0.3">
      <c r="A31" s="24" t="s">
        <v>73</v>
      </c>
      <c r="B31" s="23">
        <v>2460</v>
      </c>
      <c r="C31" s="32">
        <v>41</v>
      </c>
      <c r="D31" s="19">
        <v>60</v>
      </c>
      <c r="E31" s="36">
        <v>2460</v>
      </c>
      <c r="F31" s="20">
        <v>41</v>
      </c>
      <c r="G31" s="35">
        <f t="shared" si="0"/>
        <v>1</v>
      </c>
    </row>
    <row r="32" spans="1:7" ht="16.5" thickTop="1" thickBot="1" x14ac:dyDescent="0.3">
      <c r="A32" s="24" t="s">
        <v>98</v>
      </c>
      <c r="B32" s="23">
        <v>2409</v>
      </c>
      <c r="C32" s="32">
        <v>40.15</v>
      </c>
      <c r="D32" s="19">
        <v>59</v>
      </c>
      <c r="E32" s="36">
        <v>2389</v>
      </c>
      <c r="F32" s="20">
        <v>39.81666666666667</v>
      </c>
      <c r="G32" s="34">
        <f t="shared" si="0"/>
        <v>0.98333333333333328</v>
      </c>
    </row>
    <row r="33" spans="1:7" ht="16.5" thickTop="1" thickBot="1" x14ac:dyDescent="0.3">
      <c r="A33" s="26" t="s">
        <v>64</v>
      </c>
      <c r="B33" s="23">
        <v>2118</v>
      </c>
      <c r="C33" s="32">
        <v>35.299999999999997</v>
      </c>
      <c r="D33" s="19">
        <v>52</v>
      </c>
      <c r="E33" s="36">
        <v>2077</v>
      </c>
      <c r="F33" s="20">
        <v>34.616666666666667</v>
      </c>
      <c r="G33" s="34">
        <f t="shared" si="0"/>
        <v>0.8666666666666667</v>
      </c>
    </row>
    <row r="34" spans="1:7" ht="16.5" thickTop="1" thickBot="1" x14ac:dyDescent="0.3">
      <c r="A34" s="26" t="s">
        <v>70</v>
      </c>
      <c r="B34" s="23">
        <v>1524</v>
      </c>
      <c r="C34" s="32">
        <v>25.4</v>
      </c>
      <c r="D34" s="19">
        <v>40</v>
      </c>
      <c r="E34" s="36">
        <v>1468</v>
      </c>
      <c r="F34" s="20">
        <v>24.466666666666665</v>
      </c>
      <c r="G34" s="34">
        <f t="shared" si="0"/>
        <v>0.66666666666666663</v>
      </c>
    </row>
    <row r="35" spans="1:7" ht="16.5" thickTop="1" thickBot="1" x14ac:dyDescent="0.3">
      <c r="A35" s="24" t="s">
        <v>67</v>
      </c>
      <c r="B35" s="23">
        <v>1578</v>
      </c>
      <c r="C35" s="32">
        <v>26.3</v>
      </c>
      <c r="D35" s="19">
        <v>52</v>
      </c>
      <c r="E35" s="36">
        <v>1433</v>
      </c>
      <c r="F35" s="20">
        <v>23.883333333333333</v>
      </c>
      <c r="G35" s="35">
        <f t="shared" si="0"/>
        <v>0.8666666666666667</v>
      </c>
    </row>
    <row r="36" spans="1:7" ht="16.5" thickTop="1" thickBot="1" x14ac:dyDescent="0.3">
      <c r="A36" s="24" t="s">
        <v>94</v>
      </c>
      <c r="B36" s="23">
        <v>1471</v>
      </c>
      <c r="C36" s="32">
        <v>24.516666666666666</v>
      </c>
      <c r="D36" s="19">
        <v>37</v>
      </c>
      <c r="E36" s="36">
        <v>1355</v>
      </c>
      <c r="F36" s="20">
        <v>22.583333333333332</v>
      </c>
      <c r="G36" s="34">
        <f t="shared" si="0"/>
        <v>0.6166666666666667</v>
      </c>
    </row>
    <row r="37" spans="1:7" ht="16.5" thickTop="1" thickBot="1" x14ac:dyDescent="0.3">
      <c r="A37" s="26" t="s">
        <v>80</v>
      </c>
      <c r="B37" s="23">
        <v>1098</v>
      </c>
      <c r="C37" s="32">
        <v>18.3</v>
      </c>
      <c r="D37" s="19">
        <v>21</v>
      </c>
      <c r="E37" s="36">
        <v>881</v>
      </c>
      <c r="F37" s="20">
        <v>14.683333333333334</v>
      </c>
      <c r="G37" s="34">
        <f t="shared" si="0"/>
        <v>0.35</v>
      </c>
    </row>
    <row r="38" spans="1:7" ht="16.5" thickTop="1" thickBot="1" x14ac:dyDescent="0.3">
      <c r="A38" s="24" t="s">
        <v>78</v>
      </c>
      <c r="B38" s="23">
        <v>797</v>
      </c>
      <c r="C38" s="32">
        <v>13.283333333333333</v>
      </c>
      <c r="D38" s="19">
        <v>19</v>
      </c>
      <c r="E38" s="36">
        <v>793</v>
      </c>
      <c r="F38" s="20">
        <v>13.216666666666667</v>
      </c>
      <c r="G38" s="34">
        <f t="shared" si="0"/>
        <v>0.31666666666666665</v>
      </c>
    </row>
    <row r="39" spans="1:7" ht="15.75" thickTop="1" x14ac:dyDescent="0.25">
      <c r="A39" s="26" t="s">
        <v>65</v>
      </c>
      <c r="B39" s="23">
        <v>279</v>
      </c>
      <c r="C39" s="32">
        <v>4.6500000000000004</v>
      </c>
      <c r="D39" s="19">
        <v>0</v>
      </c>
      <c r="E39" s="36">
        <v>0</v>
      </c>
      <c r="F39" s="20">
        <v>0</v>
      </c>
      <c r="G39" s="35">
        <f t="shared" si="0"/>
        <v>0</v>
      </c>
    </row>
    <row r="41" spans="1:7" x14ac:dyDescent="0.25">
      <c r="E41" s="37">
        <f>SUM(Tabla11[Total Fixations QC])</f>
        <v>94573</v>
      </c>
    </row>
    <row r="42" spans="1:7" x14ac:dyDescent="0.25">
      <c r="E42" s="37">
        <f>AVERAGE(E3:E39)</f>
        <v>2469.6486486486488</v>
      </c>
    </row>
    <row r="43" spans="1:7" x14ac:dyDescent="0.25">
      <c r="E43" s="37">
        <f>MEDIAN(E3:E39)</f>
        <v>2734</v>
      </c>
    </row>
    <row r="44" spans="1:7" x14ac:dyDescent="0.25">
      <c r="E44">
        <f>E41/60</f>
        <v>1576.2166666666667</v>
      </c>
    </row>
    <row r="51" spans="6:6" x14ac:dyDescent="0.25">
      <c r="F51" s="39"/>
    </row>
  </sheetData>
  <conditionalFormatting sqref="B2:B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{42742FC1-59FD-41E4-8474-E56FF6AD1323}</x14:id>
        </ext>
      </extLst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{873BD582-E1D3-4AD0-837A-B452D811C2CB}</x14:id>
        </ext>
      </extLst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42FC1-59FD-41E4-8474-E56FF6AD13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D2:D39</xm:sqref>
        </x14:conditionalFormatting>
        <x14:conditionalFormatting xmlns:xm="http://schemas.microsoft.com/office/excel/2006/main">
          <x14:cfRule type="dataBar" id="{873BD582-E1D3-4AD0-837A-B452D811C2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Participants</vt:lpstr>
      <vt:lpstr>Summary</vt:lpstr>
      <vt:lpstr>Usable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Sepulveda</cp:lastModifiedBy>
  <dcterms:created xsi:type="dcterms:W3CDTF">2026-07-03T21:44:33Z</dcterms:created>
  <dcterms:modified xsi:type="dcterms:W3CDTF">2026-07-19T20:57:28Z</dcterms:modified>
</cp:coreProperties>
</file>