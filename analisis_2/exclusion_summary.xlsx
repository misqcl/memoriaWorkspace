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memoria\analisis_2\"/>
    </mc:Choice>
  </mc:AlternateContent>
  <xr:revisionPtr revIDLastSave="0" documentId="13_ncr:1_{7368F7A7-3CB7-4F84-8DF0-F0D5EA7CA0C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Valid by Emotion" sheetId="2" r:id="rId2"/>
    <sheet name="Excluded by Participant" sheetId="3" r:id="rId3"/>
    <sheet name="Excluded by Im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2" i="3"/>
  <c r="E3" i="3"/>
  <c r="B63" i="4"/>
  <c r="B32" i="3"/>
</calcChain>
</file>

<file path=xl/sharedStrings.xml><?xml version="1.0" encoding="utf-8"?>
<sst xmlns="http://schemas.openxmlformats.org/spreadsheetml/2006/main" count="52" uniqueCount="51">
  <si>
    <t>metric</t>
  </si>
  <si>
    <t>value</t>
  </si>
  <si>
    <t>Raw response rows</t>
  </si>
  <si>
    <t>NR/no-response rows excluded</t>
  </si>
  <si>
    <t>Valid emotional responses</t>
  </si>
  <si>
    <t>Valid gaze + emotional-response pairs</t>
  </si>
  <si>
    <t>Participants retained</t>
  </si>
  <si>
    <t>Images retained</t>
  </si>
  <si>
    <t>Exclusion percentage over response rows</t>
  </si>
  <si>
    <t>response_emotion</t>
  </si>
  <si>
    <t>n</t>
  </si>
  <si>
    <t>Positive</t>
  </si>
  <si>
    <t>Neutral</t>
  </si>
  <si>
    <t>Negative</t>
  </si>
  <si>
    <t>participant</t>
  </si>
  <si>
    <t>excluded_nr</t>
  </si>
  <si>
    <t>U10</t>
  </si>
  <si>
    <t>U11</t>
  </si>
  <si>
    <t>U12</t>
  </si>
  <si>
    <t>U14</t>
  </si>
  <si>
    <t>U15</t>
  </si>
  <si>
    <t>U16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</si>
  <si>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</si>
  <si>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</si>
  <si>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</si>
  <si>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</si>
  <si>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</si>
  <si>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</si>
  <si>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</si>
  <si>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</si>
  <si>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</si>
  <si>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</si>
  <si>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</si>
  <si>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</t>
  </si>
  <si>
    <t>U30</t>
  </si>
  <si>
    <t>U32</t>
  </si>
  <si>
    <t>U33</t>
  </si>
  <si>
    <t>U34</t>
  </si>
  <si>
    <t>U35</t>
  </si>
  <si>
    <t>U36</t>
  </si>
  <si>
    <t>U37</t>
  </si>
  <si>
    <t>U38</t>
  </si>
  <si>
    <t>U4</t>
  </si>
  <si>
    <t>U7</t>
  </si>
  <si>
    <t>U8</t>
  </si>
  <si>
    <t>media</t>
  </si>
  <si>
    <t>trial</t>
  </si>
  <si>
    <t>Menor a 5</t>
  </si>
  <si>
    <t>Entre 5 y 10</t>
  </si>
  <si>
    <t>Entre 10 y 20</t>
  </si>
  <si>
    <t>Mayor 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</si>
</sst>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817916199583115E-2"/>
          <c:y val="0.13521064089774806"/>
          <c:w val="0.81422130981483232"/>
          <c:h val="0.7531249715739395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'Excluded by Participant'!$B$1</c:f>
              <c:strCache>
                <c:ptCount val="1"/>
                <c:pt idx="0">
                  <c:v>excluded_nr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'Excluded by Participant'!$A$2:$A$30</c:f>
              <c:strCache>
                <c:ptCount val="29"/>
                <c:pt idx="0">
                  <c:v>U14</c:v>
                </c:pt>
                <c:pt idx="1">
                  <c:v>U19</c:v>
                </c:pt>
                <c:pt idx="2">
                  <c:v>U23</c:v>
                </c:pt>
                <c:pt idx="3">
                  <c:v>U3</c:v>
                </c:pt>
                <c:pt idx="4">
                  <c:v>U32</c:v>
                </c:pt>
                <c:pt idx="5">
                  <c:v>U37</c:v>
                </c:pt>
                <c:pt idx="6">
                  <c:v>U38</c:v>
                </c:pt>
                <c:pt idx="7">
                  <c:v>U12</c:v>
                </c:pt>
                <c:pt idx="8">
                  <c:v>U21</c:v>
                </c:pt>
                <c:pt idx="9">
                  <c:v>U27</c:v>
                </c:pt>
                <c:pt idx="10">
                  <c:v>U34</c:v>
                </c:pt>
                <c:pt idx="11">
                  <c:v>U4</c:v>
                </c:pt>
                <c:pt idx="12">
                  <c:v>U25</c:v>
                </c:pt>
                <c:pt idx="13">
                  <c:v>U36</c:v>
                </c:pt>
                <c:pt idx="14">
                  <c:v>U35</c:v>
                </c:pt>
                <c:pt idx="15">
                  <c:v>U24</c:v>
                </c:pt>
                <c:pt idx="16">
                  <c:v>U26</c:v>
                </c:pt>
                <c:pt idx="17">
                  <c:v>U7</c:v>
                </c:pt>
                <c:pt idx="18">
                  <c:v>U29</c:v>
                </c:pt>
                <c:pt idx="19">
                  <c:v>U28</c:v>
                </c:pt>
                <c:pt idx="20">
                  <c:v>U8</c:v>
                </c:pt>
                <c:pt idx="21">
                  <c:v>U15</c:v>
                </c:pt>
                <c:pt idx="22">
                  <c:v>U30</c:v>
                </c:pt>
                <c:pt idx="23">
                  <c:v>U16</c:v>
                </c:pt>
                <c:pt idx="24">
                  <c:v>U10</c:v>
                </c:pt>
                <c:pt idx="25">
                  <c:v>U33</c:v>
                </c:pt>
                <c:pt idx="26">
                  <c:v>U22</c:v>
                </c:pt>
                <c:pt idx="27">
                  <c:v>U11</c:v>
                </c:pt>
                <c:pt idx="28">
                  <c:v>U20</c:v>
                </c:pt>
              </c:strCache>
            </c:strRef>
          </c:cat>
          <c:val>
            <c:numRef>
              <c:f>'Excluded by Participant'!$B$2:$B$30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5</c:v>
                </c:pt>
                <c:pt idx="17">
                  <c:v>8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20</c:v>
                </c:pt>
                <c:pt idx="22">
                  <c:v>42</c:v>
                </c:pt>
                <c:pt idx="23">
                  <c:v>45</c:v>
                </c:pt>
                <c:pt idx="24">
                  <c:v>51</c:v>
                </c:pt>
                <c:pt idx="25">
                  <c:v>51</c:v>
                </c:pt>
                <c:pt idx="26">
                  <c:v>55</c:v>
                </c:pt>
                <c:pt idx="27">
                  <c:v>59</c:v>
                </c:pt>
                <c:pt idx="2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9-447F-81D1-02D4697C8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2699248"/>
        <c:axId val="1514587376"/>
        <c:axId val="1590286816"/>
      </c:bar3DChart>
      <c:catAx>
        <c:axId val="161269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4587376"/>
        <c:crosses val="autoZero"/>
        <c:auto val="1"/>
        <c:lblAlgn val="ctr"/>
        <c:lblOffset val="100"/>
        <c:noMultiLvlLbl val="0"/>
      </c:catAx>
      <c:valAx>
        <c:axId val="15145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2699248"/>
        <c:crosses val="autoZero"/>
        <c:crossBetween val="between"/>
      </c:valAx>
      <c:serAx>
        <c:axId val="1590286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458737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Exclusiones por imagen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'Excluded by Image'!$A$2:$A$61</c:f>
              <c:numCache>
                <c:formatCode>General</c:formatCode>
                <c:ptCount val="60"/>
                <c:pt idx="0">
                  <c:v>19</c:v>
                </c:pt>
                <c:pt idx="1">
                  <c:v>4</c:v>
                </c:pt>
                <c:pt idx="2">
                  <c:v>12</c:v>
                </c:pt>
                <c:pt idx="3">
                  <c:v>23</c:v>
                </c:pt>
                <c:pt idx="4">
                  <c:v>44</c:v>
                </c:pt>
                <c:pt idx="5">
                  <c:v>45</c:v>
                </c:pt>
                <c:pt idx="6">
                  <c:v>51</c:v>
                </c:pt>
                <c:pt idx="7">
                  <c:v>1</c:v>
                </c:pt>
                <c:pt idx="8">
                  <c:v>6</c:v>
                </c:pt>
                <c:pt idx="9">
                  <c:v>8</c:v>
                </c:pt>
                <c:pt idx="10">
                  <c:v>11</c:v>
                </c:pt>
                <c:pt idx="11">
                  <c:v>16</c:v>
                </c:pt>
                <c:pt idx="12">
                  <c:v>20</c:v>
                </c:pt>
                <c:pt idx="13">
                  <c:v>25</c:v>
                </c:pt>
                <c:pt idx="14">
                  <c:v>37</c:v>
                </c:pt>
                <c:pt idx="15">
                  <c:v>39</c:v>
                </c:pt>
                <c:pt idx="16">
                  <c:v>59</c:v>
                </c:pt>
                <c:pt idx="17">
                  <c:v>2</c:v>
                </c:pt>
                <c:pt idx="18">
                  <c:v>7</c:v>
                </c:pt>
                <c:pt idx="19">
                  <c:v>14</c:v>
                </c:pt>
                <c:pt idx="20">
                  <c:v>17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34</c:v>
                </c:pt>
                <c:pt idx="28">
                  <c:v>38</c:v>
                </c:pt>
                <c:pt idx="29">
                  <c:v>40</c:v>
                </c:pt>
                <c:pt idx="30">
                  <c:v>47</c:v>
                </c:pt>
                <c:pt idx="31">
                  <c:v>48</c:v>
                </c:pt>
                <c:pt idx="32">
                  <c:v>56</c:v>
                </c:pt>
                <c:pt idx="33">
                  <c:v>57</c:v>
                </c:pt>
                <c:pt idx="34">
                  <c:v>60</c:v>
                </c:pt>
                <c:pt idx="35">
                  <c:v>10</c:v>
                </c:pt>
                <c:pt idx="36">
                  <c:v>18</c:v>
                </c:pt>
                <c:pt idx="37">
                  <c:v>28</c:v>
                </c:pt>
                <c:pt idx="38">
                  <c:v>29</c:v>
                </c:pt>
                <c:pt idx="39">
                  <c:v>35</c:v>
                </c:pt>
                <c:pt idx="40">
                  <c:v>36</c:v>
                </c:pt>
                <c:pt idx="41">
                  <c:v>41</c:v>
                </c:pt>
                <c:pt idx="42">
                  <c:v>43</c:v>
                </c:pt>
                <c:pt idx="43">
                  <c:v>46</c:v>
                </c:pt>
                <c:pt idx="44">
                  <c:v>49</c:v>
                </c:pt>
                <c:pt idx="45">
                  <c:v>50</c:v>
                </c:pt>
                <c:pt idx="46">
                  <c:v>53</c:v>
                </c:pt>
                <c:pt idx="47">
                  <c:v>58</c:v>
                </c:pt>
                <c:pt idx="48">
                  <c:v>3</c:v>
                </c:pt>
                <c:pt idx="49">
                  <c:v>13</c:v>
                </c:pt>
                <c:pt idx="50">
                  <c:v>22</c:v>
                </c:pt>
                <c:pt idx="51">
                  <c:v>24</c:v>
                </c:pt>
                <c:pt idx="52">
                  <c:v>42</c:v>
                </c:pt>
                <c:pt idx="53">
                  <c:v>52</c:v>
                </c:pt>
                <c:pt idx="54">
                  <c:v>15</c:v>
                </c:pt>
                <c:pt idx="55">
                  <c:v>54</c:v>
                </c:pt>
                <c:pt idx="56">
                  <c:v>5</c:v>
                </c:pt>
                <c:pt idx="57">
                  <c:v>9</c:v>
                </c:pt>
                <c:pt idx="58">
                  <c:v>55</c:v>
                </c:pt>
                <c:pt idx="59">
                  <c:v>30</c:v>
                </c:pt>
              </c:numCache>
            </c:numRef>
          </c:cat>
          <c:val>
            <c:numRef>
              <c:f>'Excluded by Image'!$B$2:$B$61</c:f>
              <c:numCache>
                <c:formatCode>General</c:formatCode>
                <c:ptCount val="60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5</c:v>
                </c:pt>
                <c:pt idx="55">
                  <c:v>5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0-43B9-84DC-15A6C381D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74956752"/>
        <c:axId val="1514563376"/>
        <c:axId val="0"/>
      </c:bar3DChart>
      <c:catAx>
        <c:axId val="157495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14563376"/>
        <c:crosses val="autoZero"/>
        <c:auto val="1"/>
        <c:lblAlgn val="ctr"/>
        <c:lblOffset val="100"/>
        <c:noMultiLvlLbl val="0"/>
      </c:catAx>
      <c:valAx>
        <c:axId val="15145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7495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16</xdr:row>
      <xdr:rowOff>57150</xdr:rowOff>
    </xdr:from>
    <xdr:to>
      <xdr:col>11</xdr:col>
      <xdr:colOff>123824</xdr:colOff>
      <xdr:row>30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2D30E-2FE3-0B54-BC9D-29B6C401BA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47624</xdr:colOff>
      <xdr:row>1</xdr:row>
      <xdr:rowOff>109537</xdr:rowOff>
    </xdr:from>
    <xdr:to>
      <xdr:col>14</xdr:col>
      <xdr:colOff>390525</xdr:colOff>
      <xdr:row>23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4B41B1-B633-D3D7-F1BC-54B28E55A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78E57-06FE-43BF-9967-EC4D343D8926}" name="Tabla1" displayName="Tabla1" ref="A1:B30" totalsRowShown="0">
  <autoFilter ref="A1:B30" xr:uid="{19078E57-06FE-43BF-9967-EC4D343D8926}"/>
  <sortState xmlns:xlrd2="http://schemas.microsoft.com/office/spreadsheetml/2017/richdata2" ref="A2:B30">
    <sortCondition ref="B1:B30"/>
  </sortState>
  <tableColumns count="2">
    <tableColumn id="1" xr3:uid="{F5CDFB92-4726-4159-A936-AC104FBAB4AB}" name="participant"/>
    <tableColumn id="2" xr3:uid="{3C6FE298-CB9D-4500-9A02-D68A1B193FB8}" name="excluded_n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528BE9-2A7E-4FE6-8EF8-43871C0AFEEC}" name="Tabla3" displayName="Tabla3" ref="A1:B61" totalsRowShown="0">
  <autoFilter ref="A1:B61" xr:uid="{56528BE9-2A7E-4FE6-8EF8-43871C0AFEEC}"/>
  <sortState xmlns:xlrd2="http://schemas.microsoft.com/office/spreadsheetml/2017/richdata2" ref="A2:B61">
    <sortCondition descending="1" ref="B1:B61"/>
  </sortState>
  <tableColumns count="2">
    <tableColumn id="1" xr3:uid="{B1616027-08DC-47DB-BB42-C7CA7BAE1CF0}" name="trial"/>
    <tableColumn id="2" xr3:uid="{E5B4D1A6-97DC-4484-BD22-11B9E2ED5DF7}" name="excluded_n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F12" sqref="F12"/>
    </sheetView>
  </sheetViews>
  <sheetFormatPr baseColWidth="10" defaultColWidth="9.140625" defaultRowHeight="15" x14ac:dyDescent="0.25"/>
  <cols>
    <col min="1" max="1" width="38.140625" bestFit="1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2280</v>
      </c>
    </row>
    <row r="3" spans="1:2" x14ac:dyDescent="0.25">
      <c r="A3" t="s">
        <v>3</v>
      </c>
      <c r="B3">
        <v>457</v>
      </c>
    </row>
    <row r="4" spans="1:2" x14ac:dyDescent="0.25">
      <c r="A4" t="s">
        <v>4</v>
      </c>
      <c r="B4">
        <v>1823</v>
      </c>
    </row>
    <row r="5" spans="1:2" x14ac:dyDescent="0.25">
      <c r="A5" t="s">
        <v>5</v>
      </c>
      <c r="B5">
        <v>1708</v>
      </c>
    </row>
    <row r="6" spans="1:2" x14ac:dyDescent="0.25">
      <c r="A6" t="s">
        <v>6</v>
      </c>
      <c r="B6">
        <v>36</v>
      </c>
    </row>
    <row r="7" spans="1:2" x14ac:dyDescent="0.25">
      <c r="A7" t="s">
        <v>7</v>
      </c>
      <c r="B7">
        <v>60</v>
      </c>
    </row>
    <row r="8" spans="1:2" x14ac:dyDescent="0.25">
      <c r="A8" t="s">
        <v>8</v>
      </c>
      <c r="B8">
        <v>20.043859649122808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G37" sqref="G37"/>
    </sheetView>
  </sheetViews>
  <sheetFormatPr baseColWidth="10" defaultColWidth="9.140625" defaultRowHeight="15" x14ac:dyDescent="0.25"/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785</v>
      </c>
    </row>
    <row r="3" spans="1:2" x14ac:dyDescent="0.25">
      <c r="A3" t="s">
        <v>12</v>
      </c>
      <c r="B3">
        <v>686</v>
      </c>
    </row>
    <row r="4" spans="1:2" x14ac:dyDescent="0.25">
      <c r="A4" t="s">
        <v>13</v>
      </c>
      <c r="B4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2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12.7109375" customWidth="1"/>
    <col min="2" max="2" width="14.140625" customWidth="1"/>
    <col min="4" max="4" width="12" bestFit="1" customWidth="1"/>
    <col min="5" max="5" width="3" bestFit="1" customWidth="1"/>
  </cols>
  <sheetData>
    <row r="1" spans="1:5" x14ac:dyDescent="0.25">
      <c r="A1" t="s">
        <v>14</v>
      </c>
      <c r="B1" t="s">
        <v>15</v>
      </c>
    </row>
    <row r="2" spans="1:5" x14ac:dyDescent="0.25">
      <c r="A2" t="s">
        <v>19</v>
      </c>
      <c r="B2">
        <v>1</v>
      </c>
      <c r="D2" t="s">
        <v>47</v>
      </c>
      <c r="E2">
        <f>COUNTIF(Tabla1[excluded_nr],"&lt;5")</f>
        <v>15</v>
      </c>
    </row>
    <row r="3" spans="1:5" x14ac:dyDescent="0.25">
      <c r="A3" t="s">
        <v>22</v>
      </c>
      <c r="B3">
        <v>1</v>
      </c>
      <c r="D3" t="s">
        <v>48</v>
      </c>
      <c r="E3">
        <f>COUNTIFS(Tabla1[excluded_nr],"&gt;=5",Tabla1[excluded_nr],"&lt;=10")</f>
        <v>6</v>
      </c>
    </row>
    <row r="4" spans="1:5" x14ac:dyDescent="0.25">
      <c r="A4" t="s">
        <v>26</v>
      </c>
      <c r="B4">
        <v>1</v>
      </c>
      <c r="D4" t="s">
        <v>49</v>
      </c>
      <c r="E4">
        <f>COUNTIFS(Tabla1[excluded_nr],"&gt;10",Tabla1[excluded_nr],"&lt;=20")</f>
        <v>1</v>
      </c>
    </row>
    <row r="5" spans="1:5" x14ac:dyDescent="0.25">
      <c r="A5" t="s">
        <v>33</v>
      </c>
      <c r="B5">
        <v>1</v>
      </c>
      <c r="D5" t="s">
        <v>50</v>
      </c>
      <c r="E5">
        <f>COUNTIFS(Tabla1[excluded_nr],"&lt;20")</f>
        <v>21</v>
      </c>
    </row>
    <row r="6" spans="1:5" x14ac:dyDescent="0.25">
      <c r="A6" t="s">
        <v>35</v>
      </c>
      <c r="B6">
        <v>1</v>
      </c>
    </row>
    <row r="7" spans="1:5" x14ac:dyDescent="0.25">
      <c r="A7" t="s">
        <v>40</v>
      </c>
      <c r="B7">
        <v>1</v>
      </c>
    </row>
    <row r="8" spans="1:5" x14ac:dyDescent="0.25">
      <c r="A8" t="s">
        <v>41</v>
      </c>
      <c r="B8">
        <v>1</v>
      </c>
    </row>
    <row r="9" spans="1:5" x14ac:dyDescent="0.25">
      <c r="A9" t="s">
        <v>18</v>
      </c>
      <c r="B9">
        <v>2</v>
      </c>
    </row>
    <row r="10" spans="1:5" x14ac:dyDescent="0.25">
      <c r="A10" t="s">
        <v>24</v>
      </c>
      <c r="B10">
        <v>2</v>
      </c>
    </row>
    <row r="11" spans="1:5" x14ac:dyDescent="0.25">
      <c r="A11" t="s">
        <v>30</v>
      </c>
      <c r="B11">
        <v>2</v>
      </c>
    </row>
    <row r="12" spans="1:5" x14ac:dyDescent="0.25">
      <c r="A12" t="s">
        <v>37</v>
      </c>
      <c r="B12">
        <v>2</v>
      </c>
    </row>
    <row r="13" spans="1:5" x14ac:dyDescent="0.25">
      <c r="A13" t="s">
        <v>42</v>
      </c>
      <c r="B13">
        <v>2</v>
      </c>
    </row>
    <row r="14" spans="1:5" x14ac:dyDescent="0.25">
      <c r="A14" t="s">
        <v>28</v>
      </c>
      <c r="B14">
        <v>3</v>
      </c>
    </row>
    <row r="15" spans="1:5" x14ac:dyDescent="0.25">
      <c r="A15" t="s">
        <v>39</v>
      </c>
      <c r="B15">
        <v>3</v>
      </c>
    </row>
    <row r="16" spans="1:5" x14ac:dyDescent="0.25">
      <c r="A16" t="s">
        <v>38</v>
      </c>
      <c r="B16">
        <v>4</v>
      </c>
    </row>
    <row r="17" spans="1:2" x14ac:dyDescent="0.25">
      <c r="A17" t="s">
        <v>27</v>
      </c>
      <c r="B17">
        <v>5</v>
      </c>
    </row>
    <row r="18" spans="1:2" x14ac:dyDescent="0.25">
      <c r="A18" t="s">
        <v>29</v>
      </c>
      <c r="B18">
        <v>5</v>
      </c>
    </row>
    <row r="19" spans="1:2" x14ac:dyDescent="0.25">
      <c r="A19" t="s">
        <v>43</v>
      </c>
      <c r="B19">
        <v>8</v>
      </c>
    </row>
    <row r="20" spans="1:2" x14ac:dyDescent="0.25">
      <c r="A20" t="s">
        <v>32</v>
      </c>
      <c r="B20">
        <v>9</v>
      </c>
    </row>
    <row r="21" spans="1:2" x14ac:dyDescent="0.25">
      <c r="A21" t="s">
        <v>31</v>
      </c>
      <c r="B21">
        <v>10</v>
      </c>
    </row>
    <row r="22" spans="1:2" x14ac:dyDescent="0.25">
      <c r="A22" t="s">
        <v>44</v>
      </c>
      <c r="B22">
        <v>10</v>
      </c>
    </row>
    <row r="23" spans="1:2" x14ac:dyDescent="0.25">
      <c r="A23" t="s">
        <v>20</v>
      </c>
      <c r="B23">
        <v>20</v>
      </c>
    </row>
    <row r="24" spans="1:2" x14ac:dyDescent="0.25">
      <c r="A24" t="s">
        <v>34</v>
      </c>
      <c r="B24">
        <v>42</v>
      </c>
    </row>
    <row r="25" spans="1:2" x14ac:dyDescent="0.25">
      <c r="A25" t="s">
        <v>21</v>
      </c>
      <c r="B25">
        <v>45</v>
      </c>
    </row>
    <row r="26" spans="1:2" x14ac:dyDescent="0.25">
      <c r="A26" t="s">
        <v>16</v>
      </c>
      <c r="B26">
        <v>51</v>
      </c>
    </row>
    <row r="27" spans="1:2" x14ac:dyDescent="0.25">
      <c r="A27" t="s">
        <v>36</v>
      </c>
      <c r="B27">
        <v>51</v>
      </c>
    </row>
    <row r="28" spans="1:2" x14ac:dyDescent="0.25">
      <c r="A28" t="s">
        <v>25</v>
      </c>
      <c r="B28">
        <v>55</v>
      </c>
    </row>
    <row r="29" spans="1:2" x14ac:dyDescent="0.25">
      <c r="A29" t="s">
        <v>17</v>
      </c>
      <c r="B29">
        <v>59</v>
      </c>
    </row>
    <row r="30" spans="1:2" x14ac:dyDescent="0.25">
      <c r="A30" t="s">
        <v>23</v>
      </c>
      <c r="B30">
        <v>60</v>
      </c>
    </row>
    <row r="32" spans="1:2" x14ac:dyDescent="0.25">
      <c r="A32" t="s">
        <v>45</v>
      </c>
      <c r="B32" s="1">
        <f>AVERAGE(Tabla1[excluded_nr])</f>
        <v>15.758620689655173</v>
      </c>
    </row>
  </sheetData>
  <conditionalFormatting sqref="B2:B30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3"/>
  <sheetViews>
    <sheetView tabSelected="1" workbookViewId="0">
      <selection activeCell="B64" sqref="B64"/>
    </sheetView>
  </sheetViews>
  <sheetFormatPr baseColWidth="10" defaultColWidth="9.140625" defaultRowHeight="15" x14ac:dyDescent="0.25"/>
  <cols>
    <col min="2" max="2" width="14.140625" customWidth="1"/>
  </cols>
  <sheetData>
    <row r="1" spans="1:2" x14ac:dyDescent="0.25">
      <c r="A1" t="s">
        <v>46</v>
      </c>
      <c r="B1" t="s">
        <v>15</v>
      </c>
    </row>
    <row r="2" spans="1:2" x14ac:dyDescent="0.25">
      <c r="A2">
        <v>19</v>
      </c>
      <c r="B2">
        <v>11</v>
      </c>
    </row>
    <row r="3" spans="1:2" x14ac:dyDescent="0.25">
      <c r="A3">
        <v>4</v>
      </c>
      <c r="B3">
        <v>10</v>
      </c>
    </row>
    <row r="4" spans="1:2" x14ac:dyDescent="0.25">
      <c r="A4">
        <v>12</v>
      </c>
      <c r="B4">
        <v>10</v>
      </c>
    </row>
    <row r="5" spans="1:2" x14ac:dyDescent="0.25">
      <c r="A5">
        <v>23</v>
      </c>
      <c r="B5">
        <v>10</v>
      </c>
    </row>
    <row r="6" spans="1:2" x14ac:dyDescent="0.25">
      <c r="A6">
        <v>44</v>
      </c>
      <c r="B6">
        <v>10</v>
      </c>
    </row>
    <row r="7" spans="1:2" x14ac:dyDescent="0.25">
      <c r="A7">
        <v>45</v>
      </c>
      <c r="B7">
        <v>10</v>
      </c>
    </row>
    <row r="8" spans="1:2" x14ac:dyDescent="0.25">
      <c r="A8">
        <v>51</v>
      </c>
      <c r="B8">
        <v>10</v>
      </c>
    </row>
    <row r="9" spans="1:2" x14ac:dyDescent="0.25">
      <c r="A9">
        <v>1</v>
      </c>
      <c r="B9">
        <v>9</v>
      </c>
    </row>
    <row r="10" spans="1:2" x14ac:dyDescent="0.25">
      <c r="A10">
        <v>6</v>
      </c>
      <c r="B10">
        <v>9</v>
      </c>
    </row>
    <row r="11" spans="1:2" x14ac:dyDescent="0.25">
      <c r="A11">
        <v>8</v>
      </c>
      <c r="B11">
        <v>9</v>
      </c>
    </row>
    <row r="12" spans="1:2" x14ac:dyDescent="0.25">
      <c r="A12">
        <v>11</v>
      </c>
      <c r="B12">
        <v>9</v>
      </c>
    </row>
    <row r="13" spans="1:2" x14ac:dyDescent="0.25">
      <c r="A13">
        <v>16</v>
      </c>
      <c r="B13">
        <v>9</v>
      </c>
    </row>
    <row r="14" spans="1:2" x14ac:dyDescent="0.25">
      <c r="A14">
        <v>20</v>
      </c>
      <c r="B14">
        <v>9</v>
      </c>
    </row>
    <row r="15" spans="1:2" x14ac:dyDescent="0.25">
      <c r="A15">
        <v>25</v>
      </c>
      <c r="B15">
        <v>9</v>
      </c>
    </row>
    <row r="16" spans="1:2" x14ac:dyDescent="0.25">
      <c r="A16">
        <v>37</v>
      </c>
      <c r="B16">
        <v>9</v>
      </c>
    </row>
    <row r="17" spans="1:2" x14ac:dyDescent="0.25">
      <c r="A17">
        <v>39</v>
      </c>
      <c r="B17">
        <v>9</v>
      </c>
    </row>
    <row r="18" spans="1:2" x14ac:dyDescent="0.25">
      <c r="A18">
        <v>59</v>
      </c>
      <c r="B18">
        <v>9</v>
      </c>
    </row>
    <row r="19" spans="1:2" x14ac:dyDescent="0.25">
      <c r="A19">
        <v>2</v>
      </c>
      <c r="B19">
        <v>8</v>
      </c>
    </row>
    <row r="20" spans="1:2" x14ac:dyDescent="0.25">
      <c r="A20">
        <v>7</v>
      </c>
      <c r="B20">
        <v>8</v>
      </c>
    </row>
    <row r="21" spans="1:2" x14ac:dyDescent="0.25">
      <c r="A21">
        <v>14</v>
      </c>
      <c r="B21">
        <v>8</v>
      </c>
    </row>
    <row r="22" spans="1:2" x14ac:dyDescent="0.25">
      <c r="A22">
        <v>17</v>
      </c>
      <c r="B22">
        <v>8</v>
      </c>
    </row>
    <row r="23" spans="1:2" x14ac:dyDescent="0.25">
      <c r="A23">
        <v>21</v>
      </c>
      <c r="B23">
        <v>8</v>
      </c>
    </row>
    <row r="24" spans="1:2" x14ac:dyDescent="0.25">
      <c r="A24">
        <v>26</v>
      </c>
      <c r="B24">
        <v>8</v>
      </c>
    </row>
    <row r="25" spans="1:2" x14ac:dyDescent="0.25">
      <c r="A25">
        <v>27</v>
      </c>
      <c r="B25">
        <v>8</v>
      </c>
    </row>
    <row r="26" spans="1:2" x14ac:dyDescent="0.25">
      <c r="A26">
        <v>31</v>
      </c>
      <c r="B26">
        <v>8</v>
      </c>
    </row>
    <row r="27" spans="1:2" x14ac:dyDescent="0.25">
      <c r="A27">
        <v>32</v>
      </c>
      <c r="B27">
        <v>8</v>
      </c>
    </row>
    <row r="28" spans="1:2" x14ac:dyDescent="0.25">
      <c r="A28">
        <v>33</v>
      </c>
      <c r="B28">
        <v>8</v>
      </c>
    </row>
    <row r="29" spans="1:2" x14ac:dyDescent="0.25">
      <c r="A29">
        <v>34</v>
      </c>
      <c r="B29">
        <v>8</v>
      </c>
    </row>
    <row r="30" spans="1:2" x14ac:dyDescent="0.25">
      <c r="A30">
        <v>38</v>
      </c>
      <c r="B30">
        <v>8</v>
      </c>
    </row>
    <row r="31" spans="1:2" x14ac:dyDescent="0.25">
      <c r="A31">
        <v>40</v>
      </c>
      <c r="B31">
        <v>8</v>
      </c>
    </row>
    <row r="32" spans="1:2" x14ac:dyDescent="0.25">
      <c r="A32">
        <v>47</v>
      </c>
      <c r="B32">
        <v>8</v>
      </c>
    </row>
    <row r="33" spans="1:2" x14ac:dyDescent="0.25">
      <c r="A33">
        <v>48</v>
      </c>
      <c r="B33">
        <v>8</v>
      </c>
    </row>
    <row r="34" spans="1:2" x14ac:dyDescent="0.25">
      <c r="A34">
        <v>56</v>
      </c>
      <c r="B34">
        <v>8</v>
      </c>
    </row>
    <row r="35" spans="1:2" x14ac:dyDescent="0.25">
      <c r="A35">
        <v>57</v>
      </c>
      <c r="B35">
        <v>8</v>
      </c>
    </row>
    <row r="36" spans="1:2" x14ac:dyDescent="0.25">
      <c r="A36">
        <v>60</v>
      </c>
      <c r="B36">
        <v>8</v>
      </c>
    </row>
    <row r="37" spans="1:2" x14ac:dyDescent="0.25">
      <c r="A37">
        <v>10</v>
      </c>
      <c r="B37">
        <v>7</v>
      </c>
    </row>
    <row r="38" spans="1:2" x14ac:dyDescent="0.25">
      <c r="A38">
        <v>18</v>
      </c>
      <c r="B38">
        <v>7</v>
      </c>
    </row>
    <row r="39" spans="1:2" x14ac:dyDescent="0.25">
      <c r="A39">
        <v>28</v>
      </c>
      <c r="B39">
        <v>7</v>
      </c>
    </row>
    <row r="40" spans="1:2" x14ac:dyDescent="0.25">
      <c r="A40">
        <v>29</v>
      </c>
      <c r="B40">
        <v>7</v>
      </c>
    </row>
    <row r="41" spans="1:2" x14ac:dyDescent="0.25">
      <c r="A41">
        <v>35</v>
      </c>
      <c r="B41">
        <v>7</v>
      </c>
    </row>
    <row r="42" spans="1:2" x14ac:dyDescent="0.25">
      <c r="A42">
        <v>36</v>
      </c>
      <c r="B42">
        <v>7</v>
      </c>
    </row>
    <row r="43" spans="1:2" x14ac:dyDescent="0.25">
      <c r="A43">
        <v>41</v>
      </c>
      <c r="B43">
        <v>7</v>
      </c>
    </row>
    <row r="44" spans="1:2" x14ac:dyDescent="0.25">
      <c r="A44">
        <v>43</v>
      </c>
      <c r="B44">
        <v>7</v>
      </c>
    </row>
    <row r="45" spans="1:2" x14ac:dyDescent="0.25">
      <c r="A45">
        <v>46</v>
      </c>
      <c r="B45">
        <v>7</v>
      </c>
    </row>
    <row r="46" spans="1:2" x14ac:dyDescent="0.25">
      <c r="A46">
        <v>49</v>
      </c>
      <c r="B46">
        <v>7</v>
      </c>
    </row>
    <row r="47" spans="1:2" x14ac:dyDescent="0.25">
      <c r="A47">
        <v>50</v>
      </c>
      <c r="B47">
        <v>7</v>
      </c>
    </row>
    <row r="48" spans="1:2" x14ac:dyDescent="0.25">
      <c r="A48">
        <v>53</v>
      </c>
      <c r="B48">
        <v>7</v>
      </c>
    </row>
    <row r="49" spans="1:2" x14ac:dyDescent="0.25">
      <c r="A49">
        <v>58</v>
      </c>
      <c r="B49">
        <v>7</v>
      </c>
    </row>
    <row r="50" spans="1:2" x14ac:dyDescent="0.25">
      <c r="A50">
        <v>3</v>
      </c>
      <c r="B50">
        <v>6</v>
      </c>
    </row>
    <row r="51" spans="1:2" x14ac:dyDescent="0.25">
      <c r="A51">
        <v>13</v>
      </c>
      <c r="B51">
        <v>6</v>
      </c>
    </row>
    <row r="52" spans="1:2" x14ac:dyDescent="0.25">
      <c r="A52">
        <v>22</v>
      </c>
      <c r="B52">
        <v>6</v>
      </c>
    </row>
    <row r="53" spans="1:2" x14ac:dyDescent="0.25">
      <c r="A53">
        <v>24</v>
      </c>
      <c r="B53">
        <v>6</v>
      </c>
    </row>
    <row r="54" spans="1:2" x14ac:dyDescent="0.25">
      <c r="A54">
        <v>42</v>
      </c>
      <c r="B54">
        <v>6</v>
      </c>
    </row>
    <row r="55" spans="1:2" x14ac:dyDescent="0.25">
      <c r="A55">
        <v>52</v>
      </c>
      <c r="B55">
        <v>6</v>
      </c>
    </row>
    <row r="56" spans="1:2" x14ac:dyDescent="0.25">
      <c r="A56">
        <v>15</v>
      </c>
      <c r="B56">
        <v>5</v>
      </c>
    </row>
    <row r="57" spans="1:2" x14ac:dyDescent="0.25">
      <c r="A57">
        <v>54</v>
      </c>
      <c r="B57">
        <v>5</v>
      </c>
    </row>
    <row r="58" spans="1:2" x14ac:dyDescent="0.25">
      <c r="A58">
        <v>5</v>
      </c>
      <c r="B58">
        <v>4</v>
      </c>
    </row>
    <row r="59" spans="1:2" x14ac:dyDescent="0.25">
      <c r="A59">
        <v>9</v>
      </c>
      <c r="B59">
        <v>4</v>
      </c>
    </row>
    <row r="60" spans="1:2" x14ac:dyDescent="0.25">
      <c r="A60">
        <v>55</v>
      </c>
      <c r="B60">
        <v>4</v>
      </c>
    </row>
    <row r="61" spans="1:2" x14ac:dyDescent="0.25">
      <c r="A61">
        <v>30</v>
      </c>
      <c r="B61">
        <v>3</v>
      </c>
    </row>
    <row r="63" spans="1:2" x14ac:dyDescent="0.25">
      <c r="B63">
        <f>AVERAGE(Tabla3[excluded_nr])</f>
        <v>7.6166666666666663</v>
      </c>
    </row>
  </sheetData>
  <conditionalFormatting sqref="B2:B61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Summary</vt:lpstr>
      <vt:lpstr>Valid by Emotion</vt:lpstr>
      <vt:lpstr>Excluded by Participant</vt:lpstr>
      <vt:lpstr>Excluded by Image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Sepulveda</cp:lastModifiedBy>
  <dcterms:created xsi:type="dcterms:W3CDTF">2026-07-17T17:35:21Z</dcterms:created>
  <dcterms:modified xsi:type="dcterms:W3CDTF">2026-07-17T19:30:42Z</dcterms:modified>
</cp:coreProperties>
</file>